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Videos\ORIENTACION MARTIMA - STREAMING PRUEBA\SISTEMAS\DESARROLLOS APPS PROPIOS\SCOREBOARD\"/>
    </mc:Choice>
  </mc:AlternateContent>
  <bookViews>
    <workbookView xWindow="0" yWindow="0" windowWidth="28800" windowHeight="11715" activeTab="2"/>
  </bookViews>
  <sheets>
    <sheet name="MENU" sheetId="1" r:id="rId1"/>
    <sheet name="Hoja1" sheetId="8" r:id="rId2"/>
    <sheet name="PARAMETROS" sheetId="2" r:id="rId3"/>
    <sheet name="TGOLEADORES" sheetId="7" r:id="rId4"/>
    <sheet name="ELOCAL" sheetId="5" r:id="rId5"/>
    <sheet name="EVISITANTE" sheetId="6" r:id="rId6"/>
    <sheet name="M.LOCAL" sheetId="3" r:id="rId7"/>
    <sheet name="M.VISITANTE" sheetId="4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5" l="1"/>
  <c r="H3" i="5"/>
  <c r="C35" i="8" l="1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1" i="8"/>
  <c r="H8" i="7" l="1"/>
  <c r="H7" i="7"/>
  <c r="H6" i="7"/>
  <c r="H5" i="7"/>
  <c r="H4" i="7"/>
  <c r="H3" i="7"/>
  <c r="H2" i="7"/>
  <c r="H21" i="7"/>
  <c r="H20" i="7"/>
  <c r="H19" i="7"/>
  <c r="H18" i="7"/>
  <c r="H17" i="7"/>
  <c r="H16" i="7"/>
  <c r="H15" i="7"/>
  <c r="S8" i="7" l="1"/>
  <c r="S7" i="7"/>
  <c r="S6" i="7"/>
  <c r="S5" i="7"/>
  <c r="S4" i="7"/>
  <c r="S3" i="7"/>
  <c r="S2" i="7"/>
  <c r="S21" i="7"/>
  <c r="S20" i="7"/>
  <c r="S19" i="7"/>
  <c r="S18" i="7"/>
  <c r="S17" i="7"/>
  <c r="S16" i="7"/>
  <c r="S15" i="7"/>
  <c r="S37" i="7" l="1"/>
  <c r="H37" i="7"/>
  <c r="S36" i="7"/>
  <c r="H36" i="7"/>
  <c r="S35" i="7"/>
  <c r="H35" i="7"/>
  <c r="S34" i="7"/>
  <c r="H34" i="7"/>
  <c r="S33" i="7"/>
  <c r="H33" i="7"/>
  <c r="S32" i="7"/>
  <c r="H32" i="7"/>
  <c r="S31" i="7"/>
  <c r="H31" i="7"/>
  <c r="G5" i="5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H3" i="6"/>
  <c r="G3" i="6"/>
  <c r="H2" i="6"/>
  <c r="G2" i="6"/>
  <c r="H2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24" i="5"/>
  <c r="H18" i="5"/>
  <c r="H20" i="5"/>
  <c r="H21" i="5"/>
  <c r="H22" i="5"/>
  <c r="H19" i="5"/>
  <c r="H25" i="5"/>
  <c r="H26" i="5"/>
  <c r="H27" i="5"/>
  <c r="H28" i="5"/>
  <c r="H29" i="5"/>
  <c r="H30" i="5"/>
  <c r="H31" i="5"/>
  <c r="H32" i="5"/>
  <c r="H33" i="5"/>
  <c r="H34" i="5"/>
  <c r="G26" i="5"/>
  <c r="G27" i="5"/>
  <c r="G28" i="5"/>
  <c r="G29" i="5"/>
  <c r="G30" i="5"/>
  <c r="G31" i="5"/>
  <c r="G32" i="5"/>
  <c r="G33" i="5"/>
  <c r="G34" i="5"/>
  <c r="G3" i="5" l="1"/>
  <c r="G4" i="5"/>
  <c r="G6" i="5"/>
  <c r="G7" i="5"/>
  <c r="G8" i="5"/>
  <c r="G9" i="5"/>
  <c r="G10" i="5"/>
  <c r="G11" i="5"/>
  <c r="G12" i="5"/>
  <c r="G13" i="5"/>
  <c r="G14" i="5"/>
  <c r="G15" i="5"/>
  <c r="G16" i="5"/>
  <c r="G17" i="5"/>
  <c r="G24" i="5"/>
  <c r="G18" i="5"/>
  <c r="G20" i="5"/>
  <c r="G21" i="5"/>
  <c r="G22" i="5"/>
  <c r="G2" i="5"/>
  <c r="G19" i="5"/>
  <c r="G25" i="5"/>
  <c r="G23" i="5"/>
  <c r="A1" i="3" l="1"/>
</calcChain>
</file>

<file path=xl/sharedStrings.xml><?xml version="1.0" encoding="utf-8"?>
<sst xmlns="http://schemas.openxmlformats.org/spreadsheetml/2006/main" count="376" uniqueCount="183">
  <si>
    <t>NOMBRE EQUIPO LOCAL</t>
  </si>
  <si>
    <t>NOMBRE EQUIPO VISITANTE</t>
  </si>
  <si>
    <t>RESULTADO</t>
  </si>
  <si>
    <t>O.MARITIMA</t>
  </si>
  <si>
    <t>ONLINE</t>
  </si>
  <si>
    <t>NOMRBE</t>
  </si>
  <si>
    <t>APELLIDOS</t>
  </si>
  <si>
    <t>DEMARCACION</t>
  </si>
  <si>
    <t>foto</t>
  </si>
  <si>
    <t>observaciones</t>
  </si>
  <si>
    <t>concatenado</t>
  </si>
  <si>
    <t>Basilio</t>
  </si>
  <si>
    <t>Ander</t>
  </si>
  <si>
    <t>Marcial Felipe</t>
  </si>
  <si>
    <t>Rubén</t>
  </si>
  <si>
    <t>Ismael</t>
  </si>
  <si>
    <t>Joel</t>
  </si>
  <si>
    <t>Daniel</t>
  </si>
  <si>
    <t>Aridany</t>
  </si>
  <si>
    <t>Sergio</t>
  </si>
  <si>
    <t>Mayron Javier</t>
  </si>
  <si>
    <t>Carlos</t>
  </si>
  <si>
    <t>Guisevi</t>
  </si>
  <si>
    <t>Clemente</t>
  </si>
  <si>
    <t>Kimi</t>
  </si>
  <si>
    <t>Acorán</t>
  </si>
  <si>
    <t>Jorel Oriol</t>
  </si>
  <si>
    <t>Fabián</t>
  </si>
  <si>
    <t>Carlos Javier</t>
  </si>
  <si>
    <t>Rayco</t>
  </si>
  <si>
    <t>Ian</t>
  </si>
  <si>
    <t>Adrián</t>
  </si>
  <si>
    <t>Esteban</t>
  </si>
  <si>
    <t>Aaron</t>
  </si>
  <si>
    <t>Iván Carlos</t>
  </si>
  <si>
    <t>Álvaro</t>
  </si>
  <si>
    <t>Doramas</t>
  </si>
  <si>
    <t>Acoran</t>
  </si>
  <si>
    <t>El Aarbi</t>
  </si>
  <si>
    <t>Cristian</t>
  </si>
  <si>
    <t>Guize</t>
  </si>
  <si>
    <t>Benito</t>
  </si>
  <si>
    <t>Pouso Blanco</t>
  </si>
  <si>
    <t>García Camacho</t>
  </si>
  <si>
    <t>Martín Machín</t>
  </si>
  <si>
    <t>Cámara Dabo</t>
  </si>
  <si>
    <t>Cedrés Rodríguez</t>
  </si>
  <si>
    <t>Ruano Rodríguez</t>
  </si>
  <si>
    <t>Elvira Reyes</t>
  </si>
  <si>
    <t>Mateo</t>
  </si>
  <si>
    <t>Navarro Hernandez</t>
  </si>
  <si>
    <t>Toledo</t>
  </si>
  <si>
    <t>Ie Dju</t>
  </si>
  <si>
    <t>Gomes Batista</t>
  </si>
  <si>
    <t>Løkkevik</t>
  </si>
  <si>
    <t>Hernández Hernández</t>
  </si>
  <si>
    <t>González Morales</t>
  </si>
  <si>
    <t>Luzardo Caraballo</t>
  </si>
  <si>
    <t>Betancor de León</t>
  </si>
  <si>
    <t>Coco Basséy Eyanga</t>
  </si>
  <si>
    <t>Pérez González</t>
  </si>
  <si>
    <t>Olivero Tavío</t>
  </si>
  <si>
    <t>Padrón Calderín</t>
  </si>
  <si>
    <t>Gutierrez villafañe</t>
  </si>
  <si>
    <t>Cruz gonzalez</t>
  </si>
  <si>
    <t>González Falero</t>
  </si>
  <si>
    <t>Machín Cejas</t>
  </si>
  <si>
    <t>Medina Armas</t>
  </si>
  <si>
    <t>Rodríguez Rodríguez</t>
  </si>
  <si>
    <t>El Moumni</t>
  </si>
  <si>
    <t>Gonzalez Romero</t>
  </si>
  <si>
    <t xml:space="preserve">Padrón rijo
</t>
  </si>
  <si>
    <t>Herrera Hernández</t>
  </si>
  <si>
    <t>telfono</t>
  </si>
  <si>
    <t>concatenadon</t>
  </si>
  <si>
    <t>mail</t>
  </si>
  <si>
    <t>anderpouso2002@gmail.com</t>
  </si>
  <si>
    <t>chalogollm562777@gmail.com</t>
  </si>
  <si>
    <t>rubenmachin2002@gmail.com</t>
  </si>
  <si>
    <t>Ismaelcamara202@gmail.com</t>
  </si>
  <si>
    <t>jcedresrodriguez@gmail.com</t>
  </si>
  <si>
    <t>danilomo06@gmail.com</t>
  </si>
  <si>
    <t>aridany890@gmail.com</t>
  </si>
  <si>
    <t>smateocanada@gmail.com</t>
  </si>
  <si>
    <t>mayronnavae@gmail.com</t>
  </si>
  <si>
    <t>cartolecabrera@gmail.com</t>
  </si>
  <si>
    <t>iedjuguise@gmail.com</t>
  </si>
  <si>
    <t>cb7gomes@gmail.com</t>
  </si>
  <si>
    <t>kimiportero@gmail.com</t>
  </si>
  <si>
    <t>acohdez442@gmail.com</t>
  </si>
  <si>
    <t>jorelgonzalezmorales@gmail.com</t>
  </si>
  <si>
    <t>fabianluzardo738@gmail.com</t>
  </si>
  <si>
    <t>cajavie72@gmail.com</t>
  </si>
  <si>
    <t>basicoco@gmail.com</t>
  </si>
  <si>
    <t>raycoperzgon11@gmail.com</t>
  </si>
  <si>
    <t>ianoliverotavio09@gmail.com</t>
  </si>
  <si>
    <t>adrian.pc03@gmail.com</t>
  </si>
  <si>
    <t>abianprzz@gmail.com</t>
  </si>
  <si>
    <t>esteban.bronx2002@gmail.com</t>
  </si>
  <si>
    <t>anyeloaaron76@gmail.com</t>
  </si>
  <si>
    <t>ivangonzalezfalero@gmail.com</t>
  </si>
  <si>
    <t>alvaromachin04@gmail.com</t>
  </si>
  <si>
    <t>doramastecno@gmail.com</t>
  </si>
  <si>
    <t>aco.rodri@gmail.com</t>
  </si>
  <si>
    <t>moumniarbi19@gmail.com</t>
  </si>
  <si>
    <t>televisor210@gmail.com</t>
  </si>
  <si>
    <t>lomitolomoguize@gmail.com</t>
  </si>
  <si>
    <t>padronrijobenito@gmail.com</t>
  </si>
  <si>
    <t>adrianhhha@gmail.com</t>
  </si>
  <si>
    <t>dni</t>
  </si>
  <si>
    <t>GOLEADOR LOCAL</t>
  </si>
  <si>
    <t>GOLEADOR VISITANTE</t>
  </si>
  <si>
    <t>TEXTO</t>
  </si>
  <si>
    <t>9 Mayron Javier Navarro Hernandez</t>
  </si>
  <si>
    <t>10 Carlos Toledo</t>
  </si>
  <si>
    <t>11 Guisevi Ie Dju</t>
  </si>
  <si>
    <t>12 Clemente Gomes Batista</t>
  </si>
  <si>
    <t>13 Kimi Løkkevik</t>
  </si>
  <si>
    <t>14 Acorán Hernández Hernández</t>
  </si>
  <si>
    <t>15 Jorel Oriol González Morales</t>
  </si>
  <si>
    <t>1 Abián Pérez Hernández</t>
  </si>
  <si>
    <t>2 Marcial Felipe García Camacho</t>
  </si>
  <si>
    <t>3 Rubén Martín Machín</t>
  </si>
  <si>
    <t>4 Ismael Cámara Dabo</t>
  </si>
  <si>
    <t>5 Joel Cedrés Rodríguez</t>
  </si>
  <si>
    <t>6 Daniel Ruano Rodríguez</t>
  </si>
  <si>
    <t>7 Aridany Elvira Reyes</t>
  </si>
  <si>
    <t>rutamarcadorgrande</t>
  </si>
  <si>
    <t>rutafotosjugadoreslocales</t>
  </si>
  <si>
    <t>rutalogosequipos</t>
  </si>
  <si>
    <t>Ayoze</t>
  </si>
  <si>
    <t>Benitez Rodriguez</t>
  </si>
  <si>
    <t>1 Ayoze Benitez</t>
  </si>
  <si>
    <t>Benitez</t>
  </si>
  <si>
    <t>C:\2.jpg</t>
  </si>
  <si>
    <t>txt_gv_7_min_1 = Range("M8").Text</t>
  </si>
  <si>
    <t>txt_gv_7_min_2 = Range("N8").Text</t>
  </si>
  <si>
    <t>txt_gv_7_min_3 = Range("O8").Text</t>
  </si>
  <si>
    <t>txt_gv_7_min_4 = Range("P8").Text</t>
  </si>
  <si>
    <t>txt_gv_7_min_5 = Range("Q8").Text</t>
  </si>
  <si>
    <t>txt_gv_7_min_6 = Range("R8").Text</t>
  </si>
  <si>
    <t>txt_gv_7_min_7 = Range("S8").Text</t>
  </si>
  <si>
    <t>UserForm2.txt_gl1</t>
  </si>
  <si>
    <t>_2_min_1 = Range("B3").Text</t>
  </si>
  <si>
    <t>_2_min_2 = Range("C3").Text</t>
  </si>
  <si>
    <t>_2_min_3 = Range("D3").Text</t>
  </si>
  <si>
    <t>_2_min_4 = Range("E3").Text</t>
  </si>
  <si>
    <t>_2_min_5 = Range("F3").Text</t>
  </si>
  <si>
    <t>_2_min_6 = Range("G3").Text</t>
  </si>
  <si>
    <t>_3_min_1 = Range("B4").Text</t>
  </si>
  <si>
    <t>_3_min_2 = Range("C4").Text</t>
  </si>
  <si>
    <t>_3_min_3 = Range("D4").Text</t>
  </si>
  <si>
    <t>_3_min_4 = Range("E4").Text</t>
  </si>
  <si>
    <t>_3_min_5 = Range("F4").Text</t>
  </si>
  <si>
    <t>_3_min_6 = Range("G4").Text</t>
  </si>
  <si>
    <t>_4_min_1 = Range("B5").Text</t>
  </si>
  <si>
    <t>_4_min_2 = Range("C5").Text</t>
  </si>
  <si>
    <t>_4_min_3 = Range("D5").Text</t>
  </si>
  <si>
    <t>_4_min_4 = Range("E5").Text</t>
  </si>
  <si>
    <t>_4_min_5 = Range("F5").Text</t>
  </si>
  <si>
    <t>_4_min_6 = Range("G5").Text</t>
  </si>
  <si>
    <t>_5_min_1 = Range("B6").Text</t>
  </si>
  <si>
    <t>_5_min_2 = Range("C6").Text</t>
  </si>
  <si>
    <t>_5_min_3 = Range("D6").Text</t>
  </si>
  <si>
    <t>_5_min_4 = Range("E6").Text</t>
  </si>
  <si>
    <t>_5_min_5 = Range("F6").Text</t>
  </si>
  <si>
    <t>_5_min_6 = Range("G6").Text</t>
  </si>
  <si>
    <t>_6_min_1 = Range("B7").Text</t>
  </si>
  <si>
    <t>_6_min_2 = Range("C7").Text</t>
  </si>
  <si>
    <t>_6_min_3 = Range("D7").Text</t>
  </si>
  <si>
    <t>_6_min_4 = Range("E7").Text</t>
  </si>
  <si>
    <t>_6_min_5 = Range("F7").Text</t>
  </si>
  <si>
    <t>_6_min_6 = Range("G7").Text</t>
  </si>
  <si>
    <t>_7_min_1 = Range("B8").Text</t>
  </si>
  <si>
    <t>_7_min_2 = Range("C8").Text</t>
  </si>
  <si>
    <t>_7_min_3 = Range("D8").Text</t>
  </si>
  <si>
    <t>_7_min_4 = Range("E8").Text</t>
  </si>
  <si>
    <t>_7_min_5 = Range("F8").Text</t>
  </si>
  <si>
    <t>_7_min_6 = Range("G8").Text</t>
  </si>
  <si>
    <t>EQUIPOS LOCALES</t>
  </si>
  <si>
    <t>EQUIPOS VISITANTES</t>
  </si>
  <si>
    <t>DORSAL</t>
  </si>
  <si>
    <t>TENERIFE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</si>
</sst>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wrapText="1"/>
    </xf>
    <xf numFmtId="0" fontId="1" fillId="0" borderId="2" xfId="0" applyFont="1" applyBorder="1" applyAlignment="1">
      <alignment horizontal="right" wrapText="1"/>
    </xf>
    <xf numFmtId="0" fontId="1" fillId="0" borderId="0" xfId="0" applyFont="1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32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UGADORESLOCALES" displayName="JUGADORESLOCALES" ref="A1:K34" totalsRowShown="0" headerRowDxfId="25" dataDxfId="24">
  <autoFilter ref="A1:K34"/>
  <sortState ref="A2:K34">
    <sortCondition ref="A2"/>
  </sortState>
  <tableColumns count="11">
    <tableColumn id="1" name="DORSAL" dataDxfId="23"/>
    <tableColumn id="2" name="NOMRBE"/>
    <tableColumn id="3" name="APELLIDOS"/>
    <tableColumn id="4" name="DEMARCACION" dataDxfId="22"/>
    <tableColumn id="5" name="observaciones" dataDxfId="21"/>
    <tableColumn id="6" name="foto" dataDxfId="20"/>
    <tableColumn id="8" name="concatenado" dataDxfId="19">
      <calculatedColumnFormula>CONCATENATE(JUGADORESLOCALES[[#This Row],[NOMRBE]]," ", JUGADORESLOCALES[[#This Row],[APELLIDOS]])</calculatedColumnFormula>
    </tableColumn>
    <tableColumn id="9" name="concatenadon" dataDxfId="18">
      <calculatedColumnFormula>CONCATENATE(JUGADORESLOCALES[[#This Row],[DORSAL]]," ",JUGADORESLOCALES[[#This Row],[NOMRBE]]," ", JUGADORESLOCALES[[#This Row],[APELLIDOS]])</calculatedColumnFormula>
    </tableColumn>
    <tableColumn id="7" name="telfono" dataDxfId="17"/>
    <tableColumn id="10" name="mail" dataDxfId="16"/>
    <tableColumn id="11" name="dn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UGADORESLOCALES3" displayName="JUGADORESLOCALES3" ref="A1:K34" totalsRowShown="0" headerRowDxfId="9" dataDxfId="8">
  <autoFilter ref="A1:K34"/>
  <sortState ref="A2:K34">
    <sortCondition ref="A2"/>
  </sortState>
  <tableColumns count="11">
    <tableColumn id="1" name="15 Jorel Oriol González Morales" dataDxfId="7"/>
    <tableColumn id="2" name="NOMRBE"/>
    <tableColumn id="3" name="APELLIDOS"/>
    <tableColumn id="4" name="DEMARCACION" dataDxfId="6"/>
    <tableColumn id="5" name="observaciones" dataDxfId="5"/>
    <tableColumn id="6" name="foto" dataDxfId="4"/>
    <tableColumn id="8" name="concatenado" dataDxfId="3">
      <calculatedColumnFormula>CONCATENATE(JUGADORESLOCALES3[[#This Row],[NOMRBE]]," ", JUGADORESLOCALES3[[#This Row],[APELLIDOS]])</calculatedColumnFormula>
    </tableColumn>
    <tableColumn id="9" name="concatenadon" dataDxfId="2">
      <calculatedColumnFormula>CONCATENATE(JUGADORESLOCALES3[[#This Row],[15 Jorel Oriol González Morales]]," ",JUGADORESLOCALES3[[#This Row],[NOMRBE]]," ", JUGADORESLOCALES3[[#This Row],[APELLIDOS]])</calculatedColumnFormula>
    </tableColumn>
    <tableColumn id="7" name="telfono" dataDxfId="1"/>
    <tableColumn id="10" name="mail" dataDxfId="0"/>
    <tableColumn id="11" name="d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F15" sqref="F15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49"/>
  <sheetViews>
    <sheetView topLeftCell="A10" workbookViewId="0">
      <selection activeCell="B1" sqref="B1"/>
    </sheetView>
  </sheetViews>
  <sheetFormatPr baseColWidth="10" defaultRowHeight="15" x14ac:dyDescent="0.25"/>
  <cols>
    <col min="1" max="1" width="30.7109375" bestFit="1" customWidth="1"/>
    <col min="2" max="2" width="70.7109375" customWidth="1"/>
    <col min="3" max="3" width="41.140625" bestFit="1" customWidth="1"/>
  </cols>
  <sheetData>
    <row r="1" spans="1:3" x14ac:dyDescent="0.25">
      <c r="A1" t="s">
        <v>142</v>
      </c>
      <c r="B1" t="s">
        <v>143</v>
      </c>
      <c r="C1" t="str">
        <f>CONCATENATE(A1,B1)</f>
        <v>UserForm2.txt_gl1_2_min_1 = Range("B3").Text</v>
      </c>
    </row>
    <row r="2" spans="1:3" x14ac:dyDescent="0.25">
      <c r="A2" t="s">
        <v>142</v>
      </c>
      <c r="B2" t="s">
        <v>144</v>
      </c>
      <c r="C2" t="str">
        <f t="shared" ref="C2:C49" si="0">CONCATENATE(A2,B2)</f>
        <v>UserForm2.txt_gl1_2_min_2 = Range("C3").Text</v>
      </c>
    </row>
    <row r="3" spans="1:3" x14ac:dyDescent="0.25">
      <c r="A3" t="s">
        <v>142</v>
      </c>
      <c r="B3" t="s">
        <v>145</v>
      </c>
      <c r="C3" t="str">
        <f t="shared" si="0"/>
        <v>UserForm2.txt_gl1_2_min_3 = Range("D3").Text</v>
      </c>
    </row>
    <row r="4" spans="1:3" x14ac:dyDescent="0.25">
      <c r="A4" t="s">
        <v>142</v>
      </c>
      <c r="B4" t="s">
        <v>146</v>
      </c>
      <c r="C4" t="str">
        <f t="shared" si="0"/>
        <v>UserForm2.txt_gl1_2_min_4 = Range("E3").Text</v>
      </c>
    </row>
    <row r="5" spans="1:3" x14ac:dyDescent="0.25">
      <c r="A5" t="s">
        <v>142</v>
      </c>
      <c r="B5" t="s">
        <v>147</v>
      </c>
      <c r="C5" t="str">
        <f t="shared" si="0"/>
        <v>UserForm2.txt_gl1_2_min_5 = Range("F3").Text</v>
      </c>
    </row>
    <row r="6" spans="1:3" x14ac:dyDescent="0.25">
      <c r="A6" t="s">
        <v>142</v>
      </c>
      <c r="B6" t="s">
        <v>148</v>
      </c>
      <c r="C6" t="str">
        <f t="shared" si="0"/>
        <v>UserForm2.txt_gl1_2_min_6 = Range("G3").Text</v>
      </c>
    </row>
    <row r="7" spans="1:3" x14ac:dyDescent="0.25">
      <c r="A7" t="s">
        <v>142</v>
      </c>
      <c r="B7" t="s">
        <v>149</v>
      </c>
      <c r="C7" t="str">
        <f t="shared" si="0"/>
        <v>UserForm2.txt_gl1_3_min_1 = Range("B4").Text</v>
      </c>
    </row>
    <row r="8" spans="1:3" x14ac:dyDescent="0.25">
      <c r="A8" t="s">
        <v>142</v>
      </c>
      <c r="B8" t="s">
        <v>150</v>
      </c>
      <c r="C8" t="str">
        <f t="shared" si="0"/>
        <v>UserForm2.txt_gl1_3_min_2 = Range("C4").Text</v>
      </c>
    </row>
    <row r="9" spans="1:3" x14ac:dyDescent="0.25">
      <c r="A9" t="s">
        <v>142</v>
      </c>
      <c r="B9" t="s">
        <v>151</v>
      </c>
      <c r="C9" t="str">
        <f t="shared" si="0"/>
        <v>UserForm2.txt_gl1_3_min_3 = Range("D4").Text</v>
      </c>
    </row>
    <row r="10" spans="1:3" x14ac:dyDescent="0.25">
      <c r="A10" t="s">
        <v>142</v>
      </c>
      <c r="B10" t="s">
        <v>152</v>
      </c>
      <c r="C10" t="str">
        <f t="shared" si="0"/>
        <v>UserForm2.txt_gl1_3_min_4 = Range("E4").Text</v>
      </c>
    </row>
    <row r="11" spans="1:3" x14ac:dyDescent="0.25">
      <c r="A11" t="s">
        <v>142</v>
      </c>
      <c r="B11" t="s">
        <v>153</v>
      </c>
      <c r="C11" t="str">
        <f t="shared" si="0"/>
        <v>UserForm2.txt_gl1_3_min_5 = Range("F4").Text</v>
      </c>
    </row>
    <row r="12" spans="1:3" x14ac:dyDescent="0.25">
      <c r="A12" t="s">
        <v>142</v>
      </c>
      <c r="B12" t="s">
        <v>154</v>
      </c>
      <c r="C12" t="str">
        <f t="shared" si="0"/>
        <v>UserForm2.txt_gl1_3_min_6 = Range("G4").Text</v>
      </c>
    </row>
    <row r="13" spans="1:3" x14ac:dyDescent="0.25">
      <c r="A13" t="s">
        <v>142</v>
      </c>
      <c r="B13" t="s">
        <v>155</v>
      </c>
      <c r="C13" t="str">
        <f t="shared" si="0"/>
        <v>UserForm2.txt_gl1_4_min_1 = Range("B5").Text</v>
      </c>
    </row>
    <row r="14" spans="1:3" x14ac:dyDescent="0.25">
      <c r="A14" t="s">
        <v>142</v>
      </c>
      <c r="B14" t="s">
        <v>156</v>
      </c>
      <c r="C14" t="str">
        <f t="shared" si="0"/>
        <v>UserForm2.txt_gl1_4_min_2 = Range("C5").Text</v>
      </c>
    </row>
    <row r="15" spans="1:3" x14ac:dyDescent="0.25">
      <c r="A15" t="s">
        <v>142</v>
      </c>
      <c r="B15" t="s">
        <v>157</v>
      </c>
      <c r="C15" t="str">
        <f t="shared" si="0"/>
        <v>UserForm2.txt_gl1_4_min_3 = Range("D5").Text</v>
      </c>
    </row>
    <row r="16" spans="1:3" x14ac:dyDescent="0.25">
      <c r="A16" t="s">
        <v>142</v>
      </c>
      <c r="B16" t="s">
        <v>158</v>
      </c>
      <c r="C16" t="str">
        <f t="shared" si="0"/>
        <v>UserForm2.txt_gl1_4_min_4 = Range("E5").Text</v>
      </c>
    </row>
    <row r="17" spans="1:3" x14ac:dyDescent="0.25">
      <c r="A17" t="s">
        <v>142</v>
      </c>
      <c r="B17" t="s">
        <v>159</v>
      </c>
      <c r="C17" t="str">
        <f t="shared" si="0"/>
        <v>UserForm2.txt_gl1_4_min_5 = Range("F5").Text</v>
      </c>
    </row>
    <row r="18" spans="1:3" x14ac:dyDescent="0.25">
      <c r="A18" t="s">
        <v>142</v>
      </c>
      <c r="B18" t="s">
        <v>160</v>
      </c>
      <c r="C18" t="str">
        <f t="shared" si="0"/>
        <v>UserForm2.txt_gl1_4_min_6 = Range("G5").Text</v>
      </c>
    </row>
    <row r="19" spans="1:3" x14ac:dyDescent="0.25">
      <c r="A19" t="s">
        <v>142</v>
      </c>
      <c r="B19" t="s">
        <v>161</v>
      </c>
      <c r="C19" t="str">
        <f t="shared" si="0"/>
        <v>UserForm2.txt_gl1_5_min_1 = Range("B6").Text</v>
      </c>
    </row>
    <row r="20" spans="1:3" x14ac:dyDescent="0.25">
      <c r="A20" t="s">
        <v>142</v>
      </c>
      <c r="B20" t="s">
        <v>162</v>
      </c>
      <c r="C20" t="str">
        <f t="shared" si="0"/>
        <v>UserForm2.txt_gl1_5_min_2 = Range("C6").Text</v>
      </c>
    </row>
    <row r="21" spans="1:3" x14ac:dyDescent="0.25">
      <c r="A21" t="s">
        <v>142</v>
      </c>
      <c r="B21" t="s">
        <v>163</v>
      </c>
      <c r="C21" t="str">
        <f t="shared" si="0"/>
        <v>UserForm2.txt_gl1_5_min_3 = Range("D6").Text</v>
      </c>
    </row>
    <row r="22" spans="1:3" x14ac:dyDescent="0.25">
      <c r="A22" t="s">
        <v>142</v>
      </c>
      <c r="B22" t="s">
        <v>164</v>
      </c>
      <c r="C22" t="str">
        <f t="shared" si="0"/>
        <v>UserForm2.txt_gl1_5_min_4 = Range("E6").Text</v>
      </c>
    </row>
    <row r="23" spans="1:3" x14ac:dyDescent="0.25">
      <c r="A23" t="s">
        <v>142</v>
      </c>
      <c r="B23" t="s">
        <v>165</v>
      </c>
      <c r="C23" t="str">
        <f t="shared" si="0"/>
        <v>UserForm2.txt_gl1_5_min_5 = Range("F6").Text</v>
      </c>
    </row>
    <row r="24" spans="1:3" x14ac:dyDescent="0.25">
      <c r="A24" t="s">
        <v>142</v>
      </c>
      <c r="B24" t="s">
        <v>166</v>
      </c>
      <c r="C24" t="str">
        <f t="shared" si="0"/>
        <v>UserForm2.txt_gl1_5_min_6 = Range("G6").Text</v>
      </c>
    </row>
    <row r="25" spans="1:3" x14ac:dyDescent="0.25">
      <c r="A25" t="s">
        <v>142</v>
      </c>
      <c r="B25" t="s">
        <v>161</v>
      </c>
      <c r="C25" t="str">
        <f t="shared" si="0"/>
        <v>UserForm2.txt_gl1_5_min_1 = Range("B6").Text</v>
      </c>
    </row>
    <row r="26" spans="1:3" x14ac:dyDescent="0.25">
      <c r="A26" t="s">
        <v>142</v>
      </c>
      <c r="B26" t="s">
        <v>162</v>
      </c>
      <c r="C26" t="str">
        <f t="shared" si="0"/>
        <v>UserForm2.txt_gl1_5_min_2 = Range("C6").Text</v>
      </c>
    </row>
    <row r="27" spans="1:3" x14ac:dyDescent="0.25">
      <c r="A27" t="s">
        <v>142</v>
      </c>
      <c r="B27" t="s">
        <v>163</v>
      </c>
      <c r="C27" t="str">
        <f t="shared" si="0"/>
        <v>UserForm2.txt_gl1_5_min_3 = Range("D6").Text</v>
      </c>
    </row>
    <row r="28" spans="1:3" x14ac:dyDescent="0.25">
      <c r="A28" t="s">
        <v>142</v>
      </c>
      <c r="B28" t="s">
        <v>164</v>
      </c>
      <c r="C28" t="str">
        <f t="shared" si="0"/>
        <v>UserForm2.txt_gl1_5_min_4 = Range("E6").Text</v>
      </c>
    </row>
    <row r="29" spans="1:3" x14ac:dyDescent="0.25">
      <c r="A29" t="s">
        <v>142</v>
      </c>
      <c r="B29" t="s">
        <v>165</v>
      </c>
      <c r="C29" t="str">
        <f t="shared" si="0"/>
        <v>UserForm2.txt_gl1_5_min_5 = Range("F6").Text</v>
      </c>
    </row>
    <row r="30" spans="1:3" x14ac:dyDescent="0.25">
      <c r="A30" t="s">
        <v>142</v>
      </c>
      <c r="B30" t="s">
        <v>166</v>
      </c>
      <c r="C30" t="str">
        <f t="shared" si="0"/>
        <v>UserForm2.txt_gl1_5_min_6 = Range("G6").Text</v>
      </c>
    </row>
    <row r="31" spans="1:3" x14ac:dyDescent="0.25">
      <c r="A31" t="s">
        <v>142</v>
      </c>
      <c r="B31" t="s">
        <v>167</v>
      </c>
      <c r="C31" t="str">
        <f t="shared" si="0"/>
        <v>UserForm2.txt_gl1_6_min_1 = Range("B7").Text</v>
      </c>
    </row>
    <row r="32" spans="1:3" x14ac:dyDescent="0.25">
      <c r="A32" t="s">
        <v>142</v>
      </c>
      <c r="B32" t="s">
        <v>168</v>
      </c>
      <c r="C32" t="str">
        <f t="shared" si="0"/>
        <v>UserForm2.txt_gl1_6_min_2 = Range("C7").Text</v>
      </c>
    </row>
    <row r="33" spans="1:3" x14ac:dyDescent="0.25">
      <c r="A33" t="s">
        <v>142</v>
      </c>
      <c r="B33" t="s">
        <v>169</v>
      </c>
      <c r="C33" t="str">
        <f t="shared" si="0"/>
        <v>UserForm2.txt_gl1_6_min_3 = Range("D7").Text</v>
      </c>
    </row>
    <row r="34" spans="1:3" x14ac:dyDescent="0.25">
      <c r="A34" t="s">
        <v>142</v>
      </c>
      <c r="B34" t="s">
        <v>170</v>
      </c>
      <c r="C34" t="str">
        <f t="shared" si="0"/>
        <v>UserForm2.txt_gl1_6_min_4 = Range("E7").Text</v>
      </c>
    </row>
    <row r="35" spans="1:3" x14ac:dyDescent="0.25">
      <c r="A35" t="s">
        <v>142</v>
      </c>
      <c r="B35" t="s">
        <v>171</v>
      </c>
      <c r="C35" t="str">
        <f>CONCATENATE(A35,B35)</f>
        <v>UserForm2.txt_gl1_6_min_5 = Range("F7").Text</v>
      </c>
    </row>
    <row r="36" spans="1:3" x14ac:dyDescent="0.25">
      <c r="A36" t="s">
        <v>142</v>
      </c>
      <c r="B36" t="s">
        <v>172</v>
      </c>
      <c r="C36" t="str">
        <f t="shared" si="0"/>
        <v>UserForm2.txt_gl1_6_min_6 = Range("G7").Text</v>
      </c>
    </row>
    <row r="37" spans="1:3" x14ac:dyDescent="0.25">
      <c r="A37" t="s">
        <v>142</v>
      </c>
      <c r="B37" t="s">
        <v>173</v>
      </c>
      <c r="C37" t="str">
        <f t="shared" si="0"/>
        <v>UserForm2.txt_gl1_7_min_1 = Range("B8").Text</v>
      </c>
    </row>
    <row r="38" spans="1:3" x14ac:dyDescent="0.25">
      <c r="A38" t="s">
        <v>142</v>
      </c>
      <c r="B38" t="s">
        <v>174</v>
      </c>
      <c r="C38" t="str">
        <f t="shared" si="0"/>
        <v>UserForm2.txt_gl1_7_min_2 = Range("C8").Text</v>
      </c>
    </row>
    <row r="39" spans="1:3" x14ac:dyDescent="0.25">
      <c r="A39" t="s">
        <v>142</v>
      </c>
      <c r="B39" t="s">
        <v>175</v>
      </c>
      <c r="C39" t="str">
        <f t="shared" si="0"/>
        <v>UserForm2.txt_gl1_7_min_3 = Range("D8").Text</v>
      </c>
    </row>
    <row r="40" spans="1:3" x14ac:dyDescent="0.25">
      <c r="A40" t="s">
        <v>142</v>
      </c>
      <c r="B40" t="s">
        <v>176</v>
      </c>
      <c r="C40" t="str">
        <f t="shared" si="0"/>
        <v>UserForm2.txt_gl1_7_min_4 = Range("E8").Text</v>
      </c>
    </row>
    <row r="41" spans="1:3" x14ac:dyDescent="0.25">
      <c r="A41" t="s">
        <v>142</v>
      </c>
      <c r="B41" t="s">
        <v>177</v>
      </c>
      <c r="C41" t="str">
        <f t="shared" si="0"/>
        <v>UserForm2.txt_gl1_7_min_5 = Range("F8").Text</v>
      </c>
    </row>
    <row r="42" spans="1:3" x14ac:dyDescent="0.25">
      <c r="A42" t="s">
        <v>142</v>
      </c>
      <c r="B42" t="s">
        <v>178</v>
      </c>
      <c r="C42" t="str">
        <f t="shared" si="0"/>
        <v>UserForm2.txt_gl1_7_min_6 = Range("G8").Text</v>
      </c>
    </row>
    <row r="43" spans="1:3" x14ac:dyDescent="0.25">
      <c r="A43" t="s">
        <v>142</v>
      </c>
      <c r="B43" t="s">
        <v>135</v>
      </c>
      <c r="C43" t="str">
        <f t="shared" si="0"/>
        <v>UserForm2.txt_gl1txt_gv_7_min_1 = Range("M8").Text</v>
      </c>
    </row>
    <row r="44" spans="1:3" x14ac:dyDescent="0.25">
      <c r="A44" t="s">
        <v>142</v>
      </c>
      <c r="B44" t="s">
        <v>136</v>
      </c>
      <c r="C44" t="str">
        <f t="shared" si="0"/>
        <v>UserForm2.txt_gl1txt_gv_7_min_2 = Range("N8").Text</v>
      </c>
    </row>
    <row r="45" spans="1:3" x14ac:dyDescent="0.25">
      <c r="A45" t="s">
        <v>142</v>
      </c>
      <c r="B45" t="s">
        <v>137</v>
      </c>
      <c r="C45" t="str">
        <f t="shared" si="0"/>
        <v>UserForm2.txt_gl1txt_gv_7_min_3 = Range("O8").Text</v>
      </c>
    </row>
    <row r="46" spans="1:3" x14ac:dyDescent="0.25">
      <c r="A46" t="s">
        <v>142</v>
      </c>
      <c r="B46" t="s">
        <v>138</v>
      </c>
      <c r="C46" t="str">
        <f t="shared" si="0"/>
        <v>UserForm2.txt_gl1txt_gv_7_min_4 = Range("P8").Text</v>
      </c>
    </row>
    <row r="47" spans="1:3" x14ac:dyDescent="0.25">
      <c r="A47" t="s">
        <v>142</v>
      </c>
      <c r="B47" t="s">
        <v>139</v>
      </c>
      <c r="C47" t="str">
        <f t="shared" si="0"/>
        <v>UserForm2.txt_gl1txt_gv_7_min_5 = Range("Q8").Text</v>
      </c>
    </row>
    <row r="48" spans="1:3" x14ac:dyDescent="0.25">
      <c r="A48" t="s">
        <v>142</v>
      </c>
      <c r="B48" t="s">
        <v>140</v>
      </c>
      <c r="C48" t="str">
        <f t="shared" si="0"/>
        <v>UserForm2.txt_gl1txt_gv_7_min_6 = Range("R8").Text</v>
      </c>
    </row>
    <row r="49" spans="1:3" x14ac:dyDescent="0.25">
      <c r="A49" t="s">
        <v>142</v>
      </c>
      <c r="B49" t="s">
        <v>141</v>
      </c>
      <c r="C49" t="str">
        <f t="shared" si="0"/>
        <v>UserForm2.txt_gl1txt_gv_7_min_7 = Range("S8").Text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32"/>
  <sheetViews>
    <sheetView tabSelected="1" workbookViewId="0">
      <selection activeCell="E3" sqref="E3"/>
    </sheetView>
  </sheetViews>
  <sheetFormatPr baseColWidth="10" defaultRowHeight="15" x14ac:dyDescent="0.25"/>
  <cols>
    <col min="1" max="1" width="26" bestFit="1" customWidth="1"/>
    <col min="2" max="2" width="12.5703125" customWidth="1"/>
    <col min="3" max="3" width="33.5703125" customWidth="1"/>
    <col min="10" max="10" width="29.42578125" customWidth="1"/>
    <col min="12" max="12" width="17" bestFit="1" customWidth="1"/>
    <col min="13" max="13" width="19.5703125" bestFit="1" customWidth="1"/>
  </cols>
  <sheetData>
    <row r="1" spans="1:13" x14ac:dyDescent="0.25">
      <c r="D1" t="s">
        <v>2</v>
      </c>
      <c r="E1" t="s">
        <v>4</v>
      </c>
      <c r="J1" t="s">
        <v>127</v>
      </c>
      <c r="L1" t="s">
        <v>179</v>
      </c>
      <c r="M1" t="s">
        <v>180</v>
      </c>
    </row>
    <row r="2" spans="1:13" x14ac:dyDescent="0.25">
      <c r="A2" t="s">
        <v>0</v>
      </c>
      <c r="C2" t="s">
        <v>3</v>
      </c>
      <c r="D2">
        <v>0</v>
      </c>
      <c r="E2">
        <v>0</v>
      </c>
      <c r="J2" t="s">
        <v>128</v>
      </c>
    </row>
    <row r="3" spans="1:13" x14ac:dyDescent="0.25">
      <c r="A3" t="s">
        <v>1</v>
      </c>
      <c r="C3" t="s">
        <v>182</v>
      </c>
      <c r="D3">
        <v>0</v>
      </c>
      <c r="E3">
        <v>0</v>
      </c>
      <c r="J3" t="s">
        <v>129</v>
      </c>
    </row>
    <row r="32" spans="4:4" x14ac:dyDescent="0.25">
      <c r="D32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S37"/>
  <sheetViews>
    <sheetView workbookViewId="0">
      <selection activeCell="A2" sqref="A2"/>
    </sheetView>
  </sheetViews>
  <sheetFormatPr baseColWidth="10" defaultRowHeight="15" x14ac:dyDescent="0.25"/>
  <cols>
    <col min="1" max="1" width="29.42578125" bestFit="1" customWidth="1"/>
    <col min="2" max="7" width="5" customWidth="1"/>
    <col min="8" max="8" width="50.5703125" bestFit="1" customWidth="1"/>
    <col min="9" max="9" width="5.42578125" customWidth="1"/>
    <col min="10" max="10" width="4.28515625" customWidth="1"/>
    <col min="11" max="11" width="5.140625" customWidth="1"/>
    <col min="12" max="12" width="32.7109375" bestFit="1" customWidth="1"/>
    <col min="13" max="18" width="4.85546875" customWidth="1"/>
    <col min="19" max="19" width="53.85546875" bestFit="1" customWidth="1"/>
  </cols>
  <sheetData>
    <row r="1" spans="1:19" x14ac:dyDescent="0.25">
      <c r="A1" t="s">
        <v>110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 t="s">
        <v>112</v>
      </c>
      <c r="L1" t="s">
        <v>111</v>
      </c>
      <c r="M1">
        <v>1</v>
      </c>
      <c r="N1">
        <v>2</v>
      </c>
      <c r="O1">
        <v>3</v>
      </c>
      <c r="P1">
        <v>4</v>
      </c>
      <c r="Q1">
        <v>5</v>
      </c>
      <c r="R1">
        <v>6</v>
      </c>
      <c r="S1" t="s">
        <v>112</v>
      </c>
    </row>
    <row r="2" spans="1:19" x14ac:dyDescent="0.25">
      <c r="A2" s="3" t="s">
        <v>132</v>
      </c>
      <c r="B2">
        <v>2</v>
      </c>
      <c r="C2">
        <v>11</v>
      </c>
      <c r="D2">
        <v>15</v>
      </c>
      <c r="E2">
        <v>21</v>
      </c>
      <c r="F2">
        <v>27</v>
      </c>
      <c r="G2">
        <v>33</v>
      </c>
      <c r="H2" t="str">
        <f>CONCATENATE(A2," Min: ",B2,"  ",C2,"  ",D2,"  ",E2,"  ",F2,"  ",G2," ")</f>
        <v xml:space="preserve">1 Ayoze Benitez Min: 2  11  15  21  27  33 </v>
      </c>
      <c r="L2" s="3" t="s">
        <v>113</v>
      </c>
      <c r="M2">
        <v>2</v>
      </c>
      <c r="N2">
        <v>11</v>
      </c>
      <c r="O2">
        <v>15</v>
      </c>
      <c r="P2">
        <v>21</v>
      </c>
      <c r="Q2">
        <v>27</v>
      </c>
      <c r="R2">
        <v>33</v>
      </c>
      <c r="S2" t="str">
        <f>CONCATENATE(L2," Min: ",M2,"  ",N2,"  ",O2,"  ",P2,"  ",Q2,"  ",R2," ")</f>
        <v xml:space="preserve">9 Mayron Javier Navarro Hernandez Min: 2  11  15  21  27  33 </v>
      </c>
    </row>
    <row r="3" spans="1:19" x14ac:dyDescent="0.25">
      <c r="A3" s="4" t="s">
        <v>121</v>
      </c>
      <c r="B3">
        <v>3</v>
      </c>
      <c r="C3">
        <v>12</v>
      </c>
      <c r="D3">
        <v>17</v>
      </c>
      <c r="E3">
        <v>23</v>
      </c>
      <c r="F3">
        <v>29</v>
      </c>
      <c r="G3">
        <v>33</v>
      </c>
      <c r="H3" t="str">
        <f t="shared" ref="H3:H8" si="0">CONCATENATE(A3," Min: ",B3,"  ",C3,"  ",D3,"  ",E3,"  ",F3,"  ",G3," ")</f>
        <v xml:space="preserve">2 Marcial Felipe García Camacho Min: 3  12  17  23  29  33 </v>
      </c>
      <c r="L3" s="4" t="s">
        <v>114</v>
      </c>
      <c r="M3">
        <v>3</v>
      </c>
      <c r="N3">
        <v>12</v>
      </c>
      <c r="O3">
        <v>17</v>
      </c>
      <c r="P3">
        <v>23</v>
      </c>
      <c r="Q3">
        <v>29</v>
      </c>
      <c r="R3">
        <v>33</v>
      </c>
      <c r="S3" t="str">
        <f t="shared" ref="S3:S8" si="1">CONCATENATE(L3," Min: ",M3,"  ",N3,"  ",O3,"  ",P3,"  ",Q3,"  ",R3," ")</f>
        <v xml:space="preserve">10 Carlos Toledo Min: 3  12  17  23  29  33 </v>
      </c>
    </row>
    <row r="4" spans="1:19" x14ac:dyDescent="0.25">
      <c r="A4" s="3" t="s">
        <v>122</v>
      </c>
      <c r="B4">
        <v>5</v>
      </c>
      <c r="C4">
        <v>11</v>
      </c>
      <c r="D4">
        <v>19</v>
      </c>
      <c r="E4">
        <v>25</v>
      </c>
      <c r="F4">
        <v>31</v>
      </c>
      <c r="G4">
        <v>33</v>
      </c>
      <c r="H4" t="str">
        <f t="shared" si="0"/>
        <v xml:space="preserve">3 Rubén Martín Machín Min: 5  11  19  25  31  33 </v>
      </c>
      <c r="L4" s="3" t="s">
        <v>115</v>
      </c>
      <c r="M4">
        <v>5</v>
      </c>
      <c r="N4">
        <v>11</v>
      </c>
      <c r="O4">
        <v>19</v>
      </c>
      <c r="P4">
        <v>25</v>
      </c>
      <c r="Q4">
        <v>31</v>
      </c>
      <c r="R4">
        <v>33</v>
      </c>
      <c r="S4" t="str">
        <f t="shared" si="1"/>
        <v xml:space="preserve">11 Guisevi Ie Dju Min: 5  11  19  25  31  33 </v>
      </c>
    </row>
    <row r="5" spans="1:19" x14ac:dyDescent="0.25">
      <c r="A5" s="4" t="s">
        <v>123</v>
      </c>
      <c r="B5">
        <v>6</v>
      </c>
      <c r="C5">
        <v>12</v>
      </c>
      <c r="D5">
        <v>21</v>
      </c>
      <c r="E5">
        <v>27</v>
      </c>
      <c r="F5">
        <v>33</v>
      </c>
      <c r="G5">
        <v>33</v>
      </c>
      <c r="H5" t="str">
        <f t="shared" si="0"/>
        <v xml:space="preserve">4 Ismael Cámara Dabo Min: 6  12  21  27  33  33 </v>
      </c>
      <c r="L5" s="4" t="s">
        <v>116</v>
      </c>
      <c r="M5">
        <v>6</v>
      </c>
      <c r="N5">
        <v>12</v>
      </c>
      <c r="O5">
        <v>21</v>
      </c>
      <c r="P5">
        <v>27</v>
      </c>
      <c r="Q5">
        <v>33</v>
      </c>
      <c r="R5">
        <v>33</v>
      </c>
      <c r="S5" t="str">
        <f t="shared" si="1"/>
        <v xml:space="preserve">12 Clemente Gomes Batista Min: 6  12  21  27  33  33 </v>
      </c>
    </row>
    <row r="6" spans="1:19" x14ac:dyDescent="0.25">
      <c r="A6" s="3" t="s">
        <v>124</v>
      </c>
      <c r="B6">
        <v>8</v>
      </c>
      <c r="C6">
        <v>13</v>
      </c>
      <c r="D6">
        <v>23</v>
      </c>
      <c r="E6">
        <v>29</v>
      </c>
      <c r="F6">
        <v>35</v>
      </c>
      <c r="G6">
        <v>33</v>
      </c>
      <c r="H6" t="str">
        <f t="shared" si="0"/>
        <v xml:space="preserve">5 Joel Cedrés Rodríguez Min: 8  13  23  29  35  33 </v>
      </c>
      <c r="L6" s="3" t="s">
        <v>117</v>
      </c>
      <c r="M6">
        <v>8</v>
      </c>
      <c r="N6">
        <v>13</v>
      </c>
      <c r="O6">
        <v>23</v>
      </c>
      <c r="P6">
        <v>29</v>
      </c>
      <c r="Q6">
        <v>35</v>
      </c>
      <c r="R6">
        <v>33</v>
      </c>
      <c r="S6" t="str">
        <f t="shared" si="1"/>
        <v xml:space="preserve">13 Kimi Løkkevik Min: 8  13  23  29  35  33 </v>
      </c>
    </row>
    <row r="7" spans="1:19" x14ac:dyDescent="0.25">
      <c r="A7" s="4" t="s">
        <v>125</v>
      </c>
      <c r="B7">
        <v>9</v>
      </c>
      <c r="C7">
        <v>14</v>
      </c>
      <c r="D7">
        <v>25</v>
      </c>
      <c r="E7">
        <v>31</v>
      </c>
      <c r="F7">
        <v>37</v>
      </c>
      <c r="G7">
        <v>33</v>
      </c>
      <c r="H7" t="str">
        <f t="shared" si="0"/>
        <v xml:space="preserve">6 Daniel Ruano Rodríguez Min: 9  14  25  31  37  33 </v>
      </c>
      <c r="L7" s="4" t="s">
        <v>118</v>
      </c>
      <c r="M7">
        <v>9</v>
      </c>
      <c r="N7">
        <v>14</v>
      </c>
      <c r="O7">
        <v>25</v>
      </c>
      <c r="P7">
        <v>31</v>
      </c>
      <c r="Q7">
        <v>37</v>
      </c>
      <c r="R7">
        <v>33</v>
      </c>
      <c r="S7" t="str">
        <f t="shared" si="1"/>
        <v xml:space="preserve">14 Acorán Hernández Hernández Min: 9  14  25  31  37  33 </v>
      </c>
    </row>
    <row r="8" spans="1:19" x14ac:dyDescent="0.25">
      <c r="A8" s="3" t="s">
        <v>126</v>
      </c>
      <c r="B8">
        <v>10</v>
      </c>
      <c r="C8">
        <v>15</v>
      </c>
      <c r="D8">
        <v>27</v>
      </c>
      <c r="E8">
        <v>33</v>
      </c>
      <c r="F8">
        <v>39</v>
      </c>
      <c r="G8">
        <v>33</v>
      </c>
      <c r="H8" t="str">
        <f t="shared" si="0"/>
        <v xml:space="preserve">7 Aridany Elvira Reyes Min: 10  15  27  33  39  33 </v>
      </c>
      <c r="L8" s="3" t="s">
        <v>119</v>
      </c>
      <c r="M8">
        <v>10</v>
      </c>
      <c r="N8">
        <v>15</v>
      </c>
      <c r="O8">
        <v>27</v>
      </c>
      <c r="P8">
        <v>33</v>
      </c>
      <c r="Q8">
        <v>39</v>
      </c>
      <c r="R8">
        <v>33</v>
      </c>
      <c r="S8" t="str">
        <f t="shared" si="1"/>
        <v xml:space="preserve">15 Jorel Oriol González Morales Min: 10  15  27  33  39  33 </v>
      </c>
    </row>
    <row r="15" spans="1:19" x14ac:dyDescent="0.25">
      <c r="A15" s="3" t="s">
        <v>120</v>
      </c>
      <c r="B15">
        <v>2</v>
      </c>
      <c r="C15">
        <v>11</v>
      </c>
      <c r="D15">
        <v>15</v>
      </c>
      <c r="E15">
        <v>21</v>
      </c>
      <c r="F15">
        <v>27</v>
      </c>
      <c r="G15">
        <v>33</v>
      </c>
      <c r="H15" t="str">
        <f>CONCATENATE(A15," Min: ",B15,"  ",C15,"  ",D15,"  ",E15,"  ",F15,"  ",G15," ")</f>
        <v xml:space="preserve">1 Abián Pérez Hernández Min: 2  11  15  21  27  33 </v>
      </c>
      <c r="L15" s="3" t="s">
        <v>113</v>
      </c>
      <c r="M15">
        <v>2</v>
      </c>
      <c r="N15">
        <v>11</v>
      </c>
      <c r="O15">
        <v>15</v>
      </c>
      <c r="P15">
        <v>21</v>
      </c>
      <c r="Q15">
        <v>27</v>
      </c>
      <c r="R15">
        <v>33</v>
      </c>
      <c r="S15" t="str">
        <f>CONCATENATE(L15," Min: ",M15,"  ",N15,"  ",O15,"  ",P15,"  ",Q15,"  ",R15," ")</f>
        <v xml:space="preserve">9 Mayron Javier Navarro Hernandez Min: 2  11  15  21  27  33 </v>
      </c>
    </row>
    <row r="16" spans="1:19" x14ac:dyDescent="0.25">
      <c r="A16" s="4" t="s">
        <v>121</v>
      </c>
      <c r="B16">
        <v>3</v>
      </c>
      <c r="C16">
        <v>12</v>
      </c>
      <c r="D16">
        <v>17</v>
      </c>
      <c r="E16">
        <v>23</v>
      </c>
      <c r="F16">
        <v>29</v>
      </c>
      <c r="G16">
        <v>33</v>
      </c>
      <c r="H16" t="str">
        <f t="shared" ref="H16:H21" si="2">CONCATENATE(A16," Min: ",B16,"  ",C16,"  ",D16,"  ",E16,"  ",F16,"  ",G16," ")</f>
        <v xml:space="preserve">2 Marcial Felipe García Camacho Min: 3  12  17  23  29  33 </v>
      </c>
      <c r="L16" s="4" t="s">
        <v>114</v>
      </c>
      <c r="M16">
        <v>3</v>
      </c>
      <c r="N16">
        <v>12</v>
      </c>
      <c r="O16">
        <v>17</v>
      </c>
      <c r="P16">
        <v>23</v>
      </c>
      <c r="Q16">
        <v>29</v>
      </c>
      <c r="R16">
        <v>33</v>
      </c>
      <c r="S16" t="str">
        <f t="shared" ref="S16:S21" si="3">CONCATENATE(L16," Min: ",M16,"  ",N16,"  ",O16,"  ",P16,"  ",Q16,"  ",R16," ")</f>
        <v xml:space="preserve">10 Carlos Toledo Min: 3  12  17  23  29  33 </v>
      </c>
    </row>
    <row r="17" spans="1:19" x14ac:dyDescent="0.25">
      <c r="A17" s="3" t="s">
        <v>122</v>
      </c>
      <c r="B17">
        <v>5</v>
      </c>
      <c r="C17">
        <v>11</v>
      </c>
      <c r="D17">
        <v>19</v>
      </c>
      <c r="E17">
        <v>25</v>
      </c>
      <c r="F17">
        <v>31</v>
      </c>
      <c r="G17">
        <v>33</v>
      </c>
      <c r="H17" t="str">
        <f t="shared" si="2"/>
        <v xml:space="preserve">3 Rubén Martín Machín Min: 5  11  19  25  31  33 </v>
      </c>
      <c r="L17" s="3" t="s">
        <v>115</v>
      </c>
      <c r="M17">
        <v>5</v>
      </c>
      <c r="N17">
        <v>11</v>
      </c>
      <c r="O17">
        <v>19</v>
      </c>
      <c r="P17">
        <v>25</v>
      </c>
      <c r="Q17">
        <v>31</v>
      </c>
      <c r="R17">
        <v>33</v>
      </c>
      <c r="S17" t="str">
        <f t="shared" si="3"/>
        <v xml:space="preserve">11 Guisevi Ie Dju Min: 5  11  19  25  31  33 </v>
      </c>
    </row>
    <row r="18" spans="1:19" x14ac:dyDescent="0.25">
      <c r="A18" s="4" t="s">
        <v>123</v>
      </c>
      <c r="B18">
        <v>6</v>
      </c>
      <c r="C18">
        <v>12</v>
      </c>
      <c r="D18">
        <v>21</v>
      </c>
      <c r="E18">
        <v>27</v>
      </c>
      <c r="F18">
        <v>33</v>
      </c>
      <c r="G18">
        <v>33</v>
      </c>
      <c r="H18" t="str">
        <f t="shared" si="2"/>
        <v xml:space="preserve">4 Ismael Cámara Dabo Min: 6  12  21  27  33  33 </v>
      </c>
      <c r="L18" s="4" t="s">
        <v>116</v>
      </c>
      <c r="M18">
        <v>6</v>
      </c>
      <c r="N18">
        <v>12</v>
      </c>
      <c r="O18">
        <v>21</v>
      </c>
      <c r="P18">
        <v>27</v>
      </c>
      <c r="Q18">
        <v>33</v>
      </c>
      <c r="R18">
        <v>33</v>
      </c>
      <c r="S18" t="str">
        <f t="shared" si="3"/>
        <v xml:space="preserve">12 Clemente Gomes Batista Min: 6  12  21  27  33  33 </v>
      </c>
    </row>
    <row r="19" spans="1:19" x14ac:dyDescent="0.25">
      <c r="A19" s="3" t="s">
        <v>124</v>
      </c>
      <c r="B19">
        <v>8</v>
      </c>
      <c r="C19">
        <v>13</v>
      </c>
      <c r="D19">
        <v>23</v>
      </c>
      <c r="E19">
        <v>29</v>
      </c>
      <c r="F19">
        <v>35</v>
      </c>
      <c r="G19">
        <v>33</v>
      </c>
      <c r="H19" t="str">
        <f t="shared" si="2"/>
        <v xml:space="preserve">5 Joel Cedrés Rodríguez Min: 8  13  23  29  35  33 </v>
      </c>
      <c r="L19" s="3" t="s">
        <v>117</v>
      </c>
      <c r="M19">
        <v>8</v>
      </c>
      <c r="N19">
        <v>13</v>
      </c>
      <c r="O19">
        <v>23</v>
      </c>
      <c r="P19">
        <v>29</v>
      </c>
      <c r="Q19">
        <v>35</v>
      </c>
      <c r="R19">
        <v>33</v>
      </c>
      <c r="S19" t="str">
        <f t="shared" si="3"/>
        <v xml:space="preserve">13 Kimi Løkkevik Min: 8  13  23  29  35  33 </v>
      </c>
    </row>
    <row r="20" spans="1:19" x14ac:dyDescent="0.25">
      <c r="A20" s="4" t="s">
        <v>125</v>
      </c>
      <c r="B20">
        <v>9</v>
      </c>
      <c r="C20">
        <v>14</v>
      </c>
      <c r="D20">
        <v>25</v>
      </c>
      <c r="E20">
        <v>31</v>
      </c>
      <c r="F20">
        <v>37</v>
      </c>
      <c r="G20">
        <v>33</v>
      </c>
      <c r="H20" t="str">
        <f t="shared" si="2"/>
        <v xml:space="preserve">6 Daniel Ruano Rodríguez Min: 9  14  25  31  37  33 </v>
      </c>
      <c r="L20" s="4" t="s">
        <v>118</v>
      </c>
      <c r="M20">
        <v>9</v>
      </c>
      <c r="N20">
        <v>14</v>
      </c>
      <c r="O20">
        <v>25</v>
      </c>
      <c r="P20">
        <v>31</v>
      </c>
      <c r="Q20">
        <v>37</v>
      </c>
      <c r="R20">
        <v>33</v>
      </c>
      <c r="S20" t="str">
        <f t="shared" si="3"/>
        <v xml:space="preserve">14 Acorán Hernández Hernández Min: 9  14  25  31  37  33 </v>
      </c>
    </row>
    <row r="21" spans="1:19" x14ac:dyDescent="0.25">
      <c r="A21" s="3" t="s">
        <v>126</v>
      </c>
      <c r="B21">
        <v>10</v>
      </c>
      <c r="C21">
        <v>15</v>
      </c>
      <c r="D21">
        <v>27</v>
      </c>
      <c r="E21">
        <v>33</v>
      </c>
      <c r="F21">
        <v>39</v>
      </c>
      <c r="G21">
        <v>33</v>
      </c>
      <c r="H21" t="str">
        <f t="shared" si="2"/>
        <v xml:space="preserve">7 Aridany Elvira Reyes Min: 10  15  27  33  39  33 </v>
      </c>
      <c r="L21" s="3" t="s">
        <v>119</v>
      </c>
      <c r="M21">
        <v>10</v>
      </c>
      <c r="N21">
        <v>15</v>
      </c>
      <c r="O21">
        <v>27</v>
      </c>
      <c r="P21">
        <v>33</v>
      </c>
      <c r="Q21">
        <v>39</v>
      </c>
      <c r="R21">
        <v>33</v>
      </c>
      <c r="S21" t="str">
        <f t="shared" si="3"/>
        <v xml:space="preserve">15 Jorel Oriol González Morales Min: 10  15  27  33  39  33 </v>
      </c>
    </row>
    <row r="31" spans="1:19" x14ac:dyDescent="0.25">
      <c r="A31" s="3" t="s">
        <v>120</v>
      </c>
      <c r="B31">
        <v>2</v>
      </c>
      <c r="C31">
        <v>11</v>
      </c>
      <c r="D31">
        <v>15</v>
      </c>
      <c r="E31">
        <v>21</v>
      </c>
      <c r="F31">
        <v>27</v>
      </c>
      <c r="G31">
        <v>33</v>
      </c>
      <c r="H31" t="str">
        <f>CONCATENATE(A31," Min: ",B31,"  ",C31,"  ",D31,"  ",E31,"  ",F31,"  ",G31," ")</f>
        <v xml:space="preserve">1 Abián Pérez Hernández Min: 2  11  15  21  27  33 </v>
      </c>
      <c r="L31" s="3" t="s">
        <v>113</v>
      </c>
      <c r="M31">
        <v>2</v>
      </c>
      <c r="N31">
        <v>11</v>
      </c>
      <c r="O31">
        <v>15</v>
      </c>
      <c r="P31">
        <v>21</v>
      </c>
      <c r="Q31">
        <v>27</v>
      </c>
      <c r="R31">
        <v>33</v>
      </c>
      <c r="S31" t="str">
        <f>CONCATENATE(L31," Min: ",M31,"  ",N31,"  ",O31,"  ",P31,"  ",Q31,"  ",R31," ")</f>
        <v xml:space="preserve">9 Mayron Javier Navarro Hernandez Min: 2  11  15  21  27  33 </v>
      </c>
    </row>
    <row r="32" spans="1:19" x14ac:dyDescent="0.25">
      <c r="A32" s="4" t="s">
        <v>121</v>
      </c>
      <c r="B32">
        <v>3</v>
      </c>
      <c r="C32">
        <v>12</v>
      </c>
      <c r="D32">
        <v>17</v>
      </c>
      <c r="E32">
        <v>23</v>
      </c>
      <c r="F32">
        <v>29</v>
      </c>
      <c r="G32">
        <v>33</v>
      </c>
      <c r="H32" t="str">
        <f t="shared" ref="H32:H37" si="4">CONCATENATE(A32," Min: ",B32,"  ",C32,"  ",D32,"  ",E32,"  ",F32,"  ",G32," ")</f>
        <v xml:space="preserve">2 Marcial Felipe García Camacho Min: 3  12  17  23  29  33 </v>
      </c>
      <c r="L32" s="4" t="s">
        <v>114</v>
      </c>
      <c r="M32">
        <v>3</v>
      </c>
      <c r="N32">
        <v>12</v>
      </c>
      <c r="O32">
        <v>17</v>
      </c>
      <c r="P32">
        <v>23</v>
      </c>
      <c r="Q32">
        <v>29</v>
      </c>
      <c r="R32">
        <v>33</v>
      </c>
      <c r="S32" t="str">
        <f t="shared" ref="S32:S37" si="5">CONCATENATE(L32," Min: ",M32,"  ",N32,"  ",O32,"  ",P32,"  ",Q32,"  ",R32," ")</f>
        <v xml:space="preserve">10 Carlos Toledo Min: 3  12  17  23  29  33 </v>
      </c>
    </row>
    <row r="33" spans="1:19" x14ac:dyDescent="0.25">
      <c r="A33" s="3" t="s">
        <v>122</v>
      </c>
      <c r="B33">
        <v>5</v>
      </c>
      <c r="C33">
        <v>11</v>
      </c>
      <c r="D33">
        <v>19</v>
      </c>
      <c r="E33">
        <v>25</v>
      </c>
      <c r="F33">
        <v>31</v>
      </c>
      <c r="G33">
        <v>33</v>
      </c>
      <c r="H33" t="str">
        <f t="shared" si="4"/>
        <v xml:space="preserve">3 Rubén Martín Machín Min: 5  11  19  25  31  33 </v>
      </c>
      <c r="L33" s="3" t="s">
        <v>115</v>
      </c>
      <c r="M33">
        <v>5</v>
      </c>
      <c r="N33">
        <v>11</v>
      </c>
      <c r="O33">
        <v>19</v>
      </c>
      <c r="P33">
        <v>25</v>
      </c>
      <c r="Q33">
        <v>31</v>
      </c>
      <c r="R33">
        <v>33</v>
      </c>
      <c r="S33" t="str">
        <f t="shared" si="5"/>
        <v xml:space="preserve">11 Guisevi Ie Dju Min: 5  11  19  25  31  33 </v>
      </c>
    </row>
    <row r="34" spans="1:19" x14ac:dyDescent="0.25">
      <c r="A34" s="4" t="s">
        <v>123</v>
      </c>
      <c r="B34">
        <v>6</v>
      </c>
      <c r="C34">
        <v>12</v>
      </c>
      <c r="D34">
        <v>21</v>
      </c>
      <c r="E34">
        <v>27</v>
      </c>
      <c r="F34">
        <v>33</v>
      </c>
      <c r="G34">
        <v>33</v>
      </c>
      <c r="H34" t="str">
        <f t="shared" si="4"/>
        <v xml:space="preserve">4 Ismael Cámara Dabo Min: 6  12  21  27  33  33 </v>
      </c>
      <c r="L34" s="4" t="s">
        <v>116</v>
      </c>
      <c r="M34">
        <v>6</v>
      </c>
      <c r="N34">
        <v>12</v>
      </c>
      <c r="O34">
        <v>21</v>
      </c>
      <c r="P34">
        <v>27</v>
      </c>
      <c r="Q34">
        <v>33</v>
      </c>
      <c r="R34">
        <v>33</v>
      </c>
      <c r="S34" t="str">
        <f t="shared" si="5"/>
        <v xml:space="preserve">12 Clemente Gomes Batista Min: 6  12  21  27  33  33 </v>
      </c>
    </row>
    <row r="35" spans="1:19" x14ac:dyDescent="0.25">
      <c r="A35" s="3" t="s">
        <v>124</v>
      </c>
      <c r="B35">
        <v>8</v>
      </c>
      <c r="C35">
        <v>13</v>
      </c>
      <c r="D35">
        <v>23</v>
      </c>
      <c r="E35">
        <v>29</v>
      </c>
      <c r="F35">
        <v>35</v>
      </c>
      <c r="G35">
        <v>33</v>
      </c>
      <c r="H35" t="str">
        <f t="shared" si="4"/>
        <v xml:space="preserve">5 Joel Cedrés Rodríguez Min: 8  13  23  29  35  33 </v>
      </c>
      <c r="L35" s="3" t="s">
        <v>117</v>
      </c>
      <c r="M35">
        <v>8</v>
      </c>
      <c r="N35">
        <v>13</v>
      </c>
      <c r="O35">
        <v>23</v>
      </c>
      <c r="P35">
        <v>29</v>
      </c>
      <c r="Q35">
        <v>35</v>
      </c>
      <c r="R35">
        <v>33</v>
      </c>
      <c r="S35" t="str">
        <f t="shared" si="5"/>
        <v xml:space="preserve">13 Kimi Løkkevik Min: 8  13  23  29  35  33 </v>
      </c>
    </row>
    <row r="36" spans="1:19" x14ac:dyDescent="0.25">
      <c r="A36" s="4" t="s">
        <v>125</v>
      </c>
      <c r="B36">
        <v>9</v>
      </c>
      <c r="C36">
        <v>14</v>
      </c>
      <c r="D36">
        <v>25</v>
      </c>
      <c r="E36">
        <v>31</v>
      </c>
      <c r="F36">
        <v>37</v>
      </c>
      <c r="G36">
        <v>33</v>
      </c>
      <c r="H36" t="str">
        <f t="shared" si="4"/>
        <v xml:space="preserve">6 Daniel Ruano Rodríguez Min: 9  14  25  31  37  33 </v>
      </c>
      <c r="L36" s="4" t="s">
        <v>118</v>
      </c>
      <c r="M36">
        <v>9</v>
      </c>
      <c r="N36">
        <v>14</v>
      </c>
      <c r="O36">
        <v>25</v>
      </c>
      <c r="P36">
        <v>31</v>
      </c>
      <c r="Q36">
        <v>37</v>
      </c>
      <c r="R36">
        <v>33</v>
      </c>
      <c r="S36" t="str">
        <f t="shared" si="5"/>
        <v xml:space="preserve">14 Acorán Hernández Hernández Min: 9  14  25  31  37  33 </v>
      </c>
    </row>
    <row r="37" spans="1:19" x14ac:dyDescent="0.25">
      <c r="A37" s="3" t="s">
        <v>126</v>
      </c>
      <c r="B37">
        <v>10</v>
      </c>
      <c r="C37">
        <v>15</v>
      </c>
      <c r="D37">
        <v>27</v>
      </c>
      <c r="E37">
        <v>33</v>
      </c>
      <c r="F37">
        <v>39</v>
      </c>
      <c r="G37">
        <v>33</v>
      </c>
      <c r="H37" t="str">
        <f t="shared" si="4"/>
        <v xml:space="preserve">7 Aridany Elvira Reyes Min: 10  15  27  33  39  33 </v>
      </c>
      <c r="L37" s="3" t="s">
        <v>119</v>
      </c>
      <c r="M37">
        <v>10</v>
      </c>
      <c r="N37">
        <v>15</v>
      </c>
      <c r="O37">
        <v>27</v>
      </c>
      <c r="P37">
        <v>33</v>
      </c>
      <c r="Q37">
        <v>39</v>
      </c>
      <c r="R37">
        <v>33</v>
      </c>
      <c r="S37" t="str">
        <f t="shared" si="5"/>
        <v xml:space="preserve">15 Jorel Oriol González Morales Min: 10  15  27  33  39  33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S34"/>
  <sheetViews>
    <sheetView topLeftCell="A19" workbookViewId="0">
      <selection activeCell="G35" sqref="G35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21.85546875" style="1" customWidth="1"/>
    <col min="5" max="5" width="15.5703125" style="1" customWidth="1"/>
    <col min="6" max="6" width="40.28515625" style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181</v>
      </c>
      <c r="B1" s="1" t="s">
        <v>5</v>
      </c>
      <c r="C1" s="1" t="s">
        <v>6</v>
      </c>
      <c r="D1" s="1" t="s">
        <v>7</v>
      </c>
      <c r="E1" s="1" t="s">
        <v>9</v>
      </c>
      <c r="F1" s="1" t="s">
        <v>8</v>
      </c>
      <c r="G1" s="1" t="s">
        <v>10</v>
      </c>
      <c r="H1" s="1" t="s">
        <v>74</v>
      </c>
      <c r="I1" s="1" t="s">
        <v>73</v>
      </c>
      <c r="J1" s="1" t="s">
        <v>75</v>
      </c>
      <c r="K1" s="1" t="s">
        <v>109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5" t="s">
        <v>130</v>
      </c>
      <c r="C2" s="5" t="s">
        <v>133</v>
      </c>
      <c r="F2" s="1" t="s">
        <v>134</v>
      </c>
      <c r="G2" s="1" t="str">
        <f>CONCATENATE(JUGADORESLOCALES[[#This Row],[NOMRBE]]," ", JUGADORESLOCALES[[#This Row],[APELLIDOS]])</f>
        <v>Ayoze Benitez</v>
      </c>
      <c r="H2" s="1" t="str">
        <f>CONCATENATE(JUGADORESLOCALES[[#This Row],[DORSAL]]," ",JUGADORESLOCALES[[#This Row],[NOMRBE]]," ", JUGADORESLOCALES[[#This Row],[APELLIDOS]])</f>
        <v>1 Ayoze Benitez</v>
      </c>
      <c r="I2" s="8">
        <v>608334827</v>
      </c>
      <c r="J2" s="8" t="s">
        <v>97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13</v>
      </c>
      <c r="C3" s="5" t="s">
        <v>43</v>
      </c>
      <c r="G3" s="1" t="str">
        <f>CONCATENATE(JUGADORESLOCALES[[#This Row],[NOMRBE]]," ", JUGADORESLOCALES[[#This Row],[APELLIDOS]])</f>
        <v>Marcial Felipe García Camacho</v>
      </c>
      <c r="H3" s="1" t="str">
        <f>CONCATENATE(JUGADORESLOCALES[[#This Row],[DORSAL]]," ",JUGADORESLOCALES[[#This Row],[NOMRBE]]," ", JUGADORESLOCALES[[#This Row],[APELLIDOS]])</f>
        <v>2 Marcial Felipe García Camacho</v>
      </c>
      <c r="I3" s="8">
        <v>676455217</v>
      </c>
      <c r="J3" s="8" t="s">
        <v>77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14</v>
      </c>
      <c r="C4" s="5" t="s">
        <v>44</v>
      </c>
      <c r="G4" s="1" t="str">
        <f>CONCATENATE(JUGADORESLOCALES[[#This Row],[NOMRBE]]," ", JUGADORESLOCALES[[#This Row],[APELLIDOS]])</f>
        <v>Rubén Martín Machín</v>
      </c>
      <c r="H4" s="1" t="str">
        <f>CONCATENATE(JUGADORESLOCALES[[#This Row],[DORSAL]]," ",JUGADORESLOCALES[[#This Row],[NOMRBE]]," ", JUGADORESLOCALES[[#This Row],[APELLIDOS]])</f>
        <v>3 Rubén Martín Machín</v>
      </c>
      <c r="I4" s="8">
        <v>637144545</v>
      </c>
      <c r="J4" s="8" t="s">
        <v>78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15</v>
      </c>
      <c r="C5" s="5" t="s">
        <v>45</v>
      </c>
      <c r="G5" s="1" t="str">
        <f>CONCATENATE(JUGADORESLOCALES[[#This Row],[NOMRBE]]," ", JUGADORESLOCALES[[#This Row],[APELLIDOS]])</f>
        <v>Ismael Cámara Dabo</v>
      </c>
      <c r="H5" s="1" t="str">
        <f>CONCATENATE(JUGADORESLOCALES[[#This Row],[DORSAL]]," ",JUGADORESLOCALES[[#This Row],[NOMRBE]]," ", JUGADORESLOCALES[[#This Row],[APELLIDOS]])</f>
        <v>4 Ismael Cámara Dabo</v>
      </c>
      <c r="I5" s="8">
        <v>602805021</v>
      </c>
      <c r="J5" s="8" t="s">
        <v>79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16</v>
      </c>
      <c r="C6" s="5" t="s">
        <v>46</v>
      </c>
      <c r="G6" s="1" t="str">
        <f>CONCATENATE(JUGADORESLOCALES[[#This Row],[NOMRBE]]," ", JUGADORESLOCALES[[#This Row],[APELLIDOS]])</f>
        <v>Joel Cedrés Rodríguez</v>
      </c>
      <c r="H6" s="1" t="str">
        <f>CONCATENATE(JUGADORESLOCALES[[#This Row],[DORSAL]]," ",JUGADORESLOCALES[[#This Row],[NOMRBE]]," ", JUGADORESLOCALES[[#This Row],[APELLIDOS]])</f>
        <v>5 Joel Cedrés Rodríguez</v>
      </c>
      <c r="I6" s="8">
        <v>685594955</v>
      </c>
      <c r="J6" s="8" t="s">
        <v>80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17</v>
      </c>
      <c r="C7" s="5" t="s">
        <v>47</v>
      </c>
      <c r="G7" s="1" t="str">
        <f>CONCATENATE(JUGADORESLOCALES[[#This Row],[NOMRBE]]," ", JUGADORESLOCALES[[#This Row],[APELLIDOS]])</f>
        <v>Daniel Ruano Rodríguez</v>
      </c>
      <c r="H7" s="1" t="str">
        <f>CONCATENATE(JUGADORESLOCALES[[#This Row],[DORSAL]]," ",JUGADORESLOCALES[[#This Row],[NOMRBE]]," ", JUGADORESLOCALES[[#This Row],[APELLIDOS]])</f>
        <v>6 Daniel Ruano Rodríguez</v>
      </c>
      <c r="I7" s="8">
        <v>626189258</v>
      </c>
      <c r="J7" s="8" t="s">
        <v>81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18</v>
      </c>
      <c r="C8" s="5" t="s">
        <v>48</v>
      </c>
      <c r="G8" s="1" t="str">
        <f>CONCATENATE(JUGADORESLOCALES[[#This Row],[NOMRBE]]," ", JUGADORESLOCALES[[#This Row],[APELLIDOS]])</f>
        <v>Aridany Elvira Reyes</v>
      </c>
      <c r="H8" s="1" t="str">
        <f>CONCATENATE(JUGADORESLOCALES[[#This Row],[DORSAL]]," ",JUGADORESLOCALES[[#This Row],[NOMRBE]]," ", JUGADORESLOCALES[[#This Row],[APELLIDOS]])</f>
        <v>7 Aridany Elvira Reyes</v>
      </c>
      <c r="I8" s="8">
        <v>618611252</v>
      </c>
      <c r="J8" s="8" t="s">
        <v>82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19</v>
      </c>
      <c r="C9" s="5" t="s">
        <v>49</v>
      </c>
      <c r="G9" s="1" t="str">
        <f>CONCATENATE(JUGADORESLOCALES[[#This Row],[NOMRBE]]," ", JUGADORESLOCALES[[#This Row],[APELLIDOS]])</f>
        <v>Sergio Mateo</v>
      </c>
      <c r="H9" s="1" t="str">
        <f>CONCATENATE(JUGADORESLOCALES[[#This Row],[DORSAL]]," ",JUGADORESLOCALES[[#This Row],[NOMRBE]]," ", JUGADORESLOCALES[[#This Row],[APELLIDOS]])</f>
        <v>8 Sergio Mateo</v>
      </c>
      <c r="I9" s="8">
        <v>628516848</v>
      </c>
      <c r="J9" s="8" t="s">
        <v>83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20</v>
      </c>
      <c r="C10" s="5" t="s">
        <v>50</v>
      </c>
      <c r="G10" s="1" t="str">
        <f>CONCATENATE(JUGADORESLOCALES[[#This Row],[NOMRBE]]," ", JUGADORESLOCALES[[#This Row],[APELLIDOS]])</f>
        <v>Mayron Javier Navarro Hernandez</v>
      </c>
      <c r="H10" s="1" t="str">
        <f>CONCATENATE(JUGADORESLOCALES[[#This Row],[DORSAL]]," ",JUGADORESLOCALES[[#This Row],[NOMRBE]]," ", JUGADORESLOCALES[[#This Row],[APELLIDOS]])</f>
        <v>9 Mayron Javier Navarro Hernandez</v>
      </c>
      <c r="I10" s="8">
        <v>659956873</v>
      </c>
      <c r="J10" s="8" t="s">
        <v>84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21</v>
      </c>
      <c r="C11" s="5" t="s">
        <v>51</v>
      </c>
      <c r="G11" s="1" t="str">
        <f>CONCATENATE(JUGADORESLOCALES[[#This Row],[NOMRBE]]," ", JUGADORESLOCALES[[#This Row],[APELLIDOS]])</f>
        <v>Carlos Toledo</v>
      </c>
      <c r="H11" s="1" t="str">
        <f>CONCATENATE(JUGADORESLOCALES[[#This Row],[DORSAL]]," ",JUGADORESLOCALES[[#This Row],[NOMRBE]]," ", JUGADORESLOCALES[[#This Row],[APELLIDOS]])</f>
        <v>10 Carlos Toledo</v>
      </c>
      <c r="I11" s="8">
        <v>626942473</v>
      </c>
      <c r="J11" s="8" t="s">
        <v>85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22</v>
      </c>
      <c r="C12" s="5" t="s">
        <v>52</v>
      </c>
      <c r="G12" s="1" t="str">
        <f>CONCATENATE(JUGADORESLOCALES[[#This Row],[NOMRBE]]," ", JUGADORESLOCALES[[#This Row],[APELLIDOS]])</f>
        <v>Guisevi Ie Dju</v>
      </c>
      <c r="H12" s="1" t="str">
        <f>CONCATENATE(JUGADORESLOCALES[[#This Row],[DORSAL]]," ",JUGADORESLOCALES[[#This Row],[NOMRBE]]," ", JUGADORESLOCALES[[#This Row],[APELLIDOS]])</f>
        <v>11 Guisevi Ie Dju</v>
      </c>
      <c r="I12" s="8">
        <v>631365961</v>
      </c>
      <c r="J12" s="8" t="s">
        <v>86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23</v>
      </c>
      <c r="C13" s="5" t="s">
        <v>53</v>
      </c>
      <c r="G13" s="1" t="str">
        <f>CONCATENATE(JUGADORESLOCALES[[#This Row],[NOMRBE]]," ", JUGADORESLOCALES[[#This Row],[APELLIDOS]])</f>
        <v>Clemente Gomes Batista</v>
      </c>
      <c r="H13" s="1" t="str">
        <f>CONCATENATE(JUGADORESLOCALES[[#This Row],[DORSAL]]," ",JUGADORESLOCALES[[#This Row],[NOMRBE]]," ", JUGADORESLOCALES[[#This Row],[APELLIDOS]])</f>
        <v>12 Clemente Gomes Batista</v>
      </c>
      <c r="I13" s="8">
        <v>612451957</v>
      </c>
      <c r="J13" s="8" t="s">
        <v>87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24</v>
      </c>
      <c r="C14" s="5" t="s">
        <v>54</v>
      </c>
      <c r="G14" s="1" t="str">
        <f>CONCATENATE(JUGADORESLOCALES[[#This Row],[NOMRBE]]," ", JUGADORESLOCALES[[#This Row],[APELLIDOS]])</f>
        <v>Kimi Løkkevik</v>
      </c>
      <c r="H14" s="1" t="str">
        <f>CONCATENATE(JUGADORESLOCALES[[#This Row],[DORSAL]]," ",JUGADORESLOCALES[[#This Row],[NOMRBE]]," ", JUGADORESLOCALES[[#This Row],[APELLIDOS]])</f>
        <v>13 Kimi Løkkevik</v>
      </c>
      <c r="I14" s="8">
        <v>4917673243384</v>
      </c>
      <c r="J14" s="8" t="s">
        <v>88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25</v>
      </c>
      <c r="C15" s="5" t="s">
        <v>55</v>
      </c>
      <c r="G15" s="1" t="str">
        <f>CONCATENATE(JUGADORESLOCALES[[#This Row],[NOMRBE]]," ", JUGADORESLOCALES[[#This Row],[APELLIDOS]])</f>
        <v>Acorán Hernández Hernández</v>
      </c>
      <c r="H15" s="1" t="str">
        <f>CONCATENATE(JUGADORESLOCALES[[#This Row],[DORSAL]]," ",JUGADORESLOCALES[[#This Row],[NOMRBE]]," ", JUGADORESLOCALES[[#This Row],[APELLIDOS]])</f>
        <v>14 Acorán Hernández Hernández</v>
      </c>
      <c r="I15" s="8">
        <v>691624685</v>
      </c>
      <c r="J15" s="8" t="s">
        <v>89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26</v>
      </c>
      <c r="C16" s="5" t="s">
        <v>56</v>
      </c>
      <c r="G16" s="1" t="str">
        <f>CONCATENATE(JUGADORESLOCALES[[#This Row],[NOMRBE]]," ", JUGADORESLOCALES[[#This Row],[APELLIDOS]])</f>
        <v>Jorel Oriol González Morales</v>
      </c>
      <c r="H16" s="1" t="str">
        <f>CONCATENATE(JUGADORESLOCALES[[#This Row],[DORSAL]]," ",JUGADORESLOCALES[[#This Row],[NOMRBE]]," ", JUGADORESLOCALES[[#This Row],[APELLIDOS]])</f>
        <v>15 Jorel Oriol González Morales</v>
      </c>
      <c r="I16" s="8">
        <v>697287419</v>
      </c>
      <c r="J16" s="8" t="s">
        <v>90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27</v>
      </c>
      <c r="C17" s="5" t="s">
        <v>57</v>
      </c>
      <c r="G17" s="1" t="str">
        <f>CONCATENATE(JUGADORESLOCALES[[#This Row],[NOMRBE]]," ", JUGADORESLOCALES[[#This Row],[APELLIDOS]])</f>
        <v>Fabián Luzardo Caraballo</v>
      </c>
      <c r="H17" s="1" t="str">
        <f>CONCATENATE(JUGADORESLOCALES[[#This Row],[DORSAL]]," ",JUGADORESLOCALES[[#This Row],[NOMRBE]]," ", JUGADORESLOCALES[[#This Row],[APELLIDOS]])</f>
        <v>16 Fabián Luzardo Caraballo</v>
      </c>
      <c r="I17" s="8">
        <v>634598224</v>
      </c>
      <c r="J17" s="8" t="s">
        <v>91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11</v>
      </c>
      <c r="C18" s="5" t="s">
        <v>59</v>
      </c>
      <c r="G18" s="1" t="str">
        <f>CONCATENATE(JUGADORESLOCALES[[#This Row],[NOMRBE]]," ", JUGADORESLOCALES[[#This Row],[APELLIDOS]])</f>
        <v>Basilio Coco Basséy Eyanga</v>
      </c>
      <c r="H18" s="1" t="str">
        <f>CONCATENATE(JUGADORESLOCALES[[#This Row],[DORSAL]]," ",JUGADORESLOCALES[[#This Row],[NOMRBE]]," ", JUGADORESLOCALES[[#This Row],[APELLIDOS]])</f>
        <v>17 Basilio Coco Basséy Eyanga</v>
      </c>
      <c r="I18" s="8">
        <v>649180896</v>
      </c>
      <c r="J18" s="8" t="s">
        <v>93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32</v>
      </c>
      <c r="C19" s="5" t="s">
        <v>63</v>
      </c>
      <c r="G19" s="1" t="str">
        <f>CONCATENATE(JUGADORESLOCALES[[#This Row],[NOMRBE]]," ", JUGADORESLOCALES[[#This Row],[APELLIDOS]])</f>
        <v>Esteban Gutierrez villafañe</v>
      </c>
      <c r="H19" s="1" t="str">
        <f>CONCATENATE(JUGADORESLOCALES[[#This Row],[DORSAL]]," ",JUGADORESLOCALES[[#This Row],[NOMRBE]]," ", JUGADORESLOCALES[[#This Row],[APELLIDOS]])</f>
        <v>18 Esteban Gutierrez villafañe</v>
      </c>
      <c r="I19" s="8">
        <v>604281931</v>
      </c>
      <c r="J19" s="8" t="s">
        <v>98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29</v>
      </c>
      <c r="C20" s="5" t="s">
        <v>60</v>
      </c>
      <c r="G20" s="1" t="str">
        <f>CONCATENATE(JUGADORESLOCALES[[#This Row],[NOMRBE]]," ", JUGADORESLOCALES[[#This Row],[APELLIDOS]])</f>
        <v>Rayco Pérez González</v>
      </c>
      <c r="H20" s="1" t="str">
        <f>CONCATENATE(JUGADORESLOCALES[[#This Row],[DORSAL]]," ",JUGADORESLOCALES[[#This Row],[NOMRBE]]," ", JUGADORESLOCALES[[#This Row],[APELLIDOS]])</f>
        <v>19 Rayco Pérez González</v>
      </c>
      <c r="I20" s="8">
        <v>608674220</v>
      </c>
      <c r="J20" s="8" t="s">
        <v>94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30</v>
      </c>
      <c r="C21" s="5" t="s">
        <v>61</v>
      </c>
      <c r="G21" s="1" t="str">
        <f>CONCATENATE(JUGADORESLOCALES[[#This Row],[NOMRBE]]," ", JUGADORESLOCALES[[#This Row],[APELLIDOS]])</f>
        <v>Ian Olivero Tavío</v>
      </c>
      <c r="H21" s="1" t="str">
        <f>CONCATENATE(JUGADORESLOCALES[[#This Row],[DORSAL]]," ",JUGADORESLOCALES[[#This Row],[NOMRBE]]," ", JUGADORESLOCALES[[#This Row],[APELLIDOS]])</f>
        <v>20 Ian Olivero Tavío</v>
      </c>
      <c r="I21" s="8">
        <v>608465346</v>
      </c>
      <c r="J21" s="8" t="s">
        <v>95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31</v>
      </c>
      <c r="C22" s="5" t="s">
        <v>62</v>
      </c>
      <c r="G22" s="1" t="str">
        <f>CONCATENATE(JUGADORESLOCALES[[#This Row],[NOMRBE]]," ", JUGADORESLOCALES[[#This Row],[APELLIDOS]])</f>
        <v>Adrián Padrón Calderín</v>
      </c>
      <c r="H22" s="1" t="str">
        <f>CONCATENATE(JUGADORESLOCALES[[#This Row],[DORSAL]]," ",JUGADORESLOCALES[[#This Row],[NOMRBE]]," ", JUGADORESLOCALES[[#This Row],[APELLIDOS]])</f>
        <v>21 Adrián Padrón Calderín</v>
      </c>
      <c r="I22" s="8">
        <v>656288997</v>
      </c>
      <c r="J22" s="8" t="s">
        <v>96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12</v>
      </c>
      <c r="C23" s="5" t="s">
        <v>42</v>
      </c>
      <c r="G23" s="1" t="str">
        <f>CONCATENATE(JUGADORESLOCALES[[#This Row],[NOMRBE]]," ", JUGADORESLOCALES[[#This Row],[APELLIDOS]])</f>
        <v>Ander Pouso Blanco</v>
      </c>
      <c r="H23" s="1" t="str">
        <f>CONCATENATE(JUGADORESLOCALES[[#This Row],[DORSAL]]," ",JUGADORESLOCALES[[#This Row],[NOMRBE]]," ", JUGADORESLOCALES[[#This Row],[APELLIDOS]])</f>
        <v>22 Ander Pouso Blanco</v>
      </c>
      <c r="I23" s="8">
        <v>626775329</v>
      </c>
      <c r="J23" s="8" t="s">
        <v>76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28</v>
      </c>
      <c r="C24" s="5" t="s">
        <v>58</v>
      </c>
      <c r="G24" s="1" t="str">
        <f>CONCATENATE(JUGADORESLOCALES[[#This Row],[NOMRBE]]," ", JUGADORESLOCALES[[#This Row],[APELLIDOS]])</f>
        <v>Carlos Javier Betancor de León</v>
      </c>
      <c r="H24" s="1" t="str">
        <f>CONCATENATE(JUGADORESLOCALES[[#This Row],[DORSAL]]," ",JUGADORESLOCALES[[#This Row],[NOMRBE]]," ", JUGADORESLOCALES[[#This Row],[APELLIDOS]])</f>
        <v>23 Carlos Javier Betancor de León</v>
      </c>
      <c r="I24" s="8">
        <v>639493646</v>
      </c>
      <c r="J24" s="8" t="s">
        <v>92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33</v>
      </c>
      <c r="C25" s="5" t="s">
        <v>64</v>
      </c>
      <c r="G25" s="1" t="str">
        <f>CONCATENATE(JUGADORESLOCALES[[#This Row],[NOMRBE]]," ", JUGADORESLOCALES[[#This Row],[APELLIDOS]])</f>
        <v>Aaron Cruz gonzalez</v>
      </c>
      <c r="H25" s="1" t="str">
        <f>CONCATENATE(JUGADORESLOCALES[[#This Row],[DORSAL]]," ",JUGADORESLOCALES[[#This Row],[NOMRBE]]," ", JUGADORESLOCALES[[#This Row],[APELLIDOS]])</f>
        <v>24 Aaron Cruz gonzalez</v>
      </c>
      <c r="I25" s="8">
        <v>630226908</v>
      </c>
      <c r="J25" s="8" t="s">
        <v>99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34</v>
      </c>
      <c r="C26" s="5" t="s">
        <v>65</v>
      </c>
      <c r="G26" s="2" t="str">
        <f>CONCATENATE(JUGADORESLOCALES[[#This Row],[NOMRBE]]," ", JUGADORESLOCALES[[#This Row],[APELLIDOS]])</f>
        <v>Iván Carlos González Falero</v>
      </c>
      <c r="H26" s="2" t="str">
        <f>CONCATENATE(JUGADORESLOCALES[[#This Row],[DORSAL]]," ",JUGADORESLOCALES[[#This Row],[NOMRBE]]," ", JUGADORESLOCALES[[#This Row],[APELLIDOS]])</f>
        <v>25 Iván Carlos González Falero</v>
      </c>
      <c r="I26" s="8">
        <v>699350272</v>
      </c>
      <c r="J26" s="8" t="s">
        <v>100</v>
      </c>
      <c r="K26" s="6">
        <v>42919785</v>
      </c>
    </row>
    <row r="27" spans="1:19" ht="15.75" thickBot="1" x14ac:dyDescent="0.3">
      <c r="A27" s="1">
        <v>26</v>
      </c>
      <c r="B27" s="1" t="s">
        <v>35</v>
      </c>
      <c r="C27" s="5" t="s">
        <v>66</v>
      </c>
      <c r="G27" s="2" t="str">
        <f>CONCATENATE(JUGADORESLOCALES[[#This Row],[NOMRBE]]," ", JUGADORESLOCALES[[#This Row],[APELLIDOS]])</f>
        <v>Álvaro Machín Cejas</v>
      </c>
      <c r="H27" s="2" t="str">
        <f>CONCATENATE(JUGADORESLOCALES[[#This Row],[DORSAL]]," ",JUGADORESLOCALES[[#This Row],[NOMRBE]]," ", JUGADORESLOCALES[[#This Row],[APELLIDOS]])</f>
        <v>26 Álvaro Machín Cejas</v>
      </c>
      <c r="I27" s="8">
        <v>683359678</v>
      </c>
      <c r="J27" s="8" t="s">
        <v>101</v>
      </c>
      <c r="K27" s="6">
        <v>78818674</v>
      </c>
    </row>
    <row r="28" spans="1:19" ht="15.75" thickBot="1" x14ac:dyDescent="0.3">
      <c r="A28" s="1">
        <v>27</v>
      </c>
      <c r="B28" s="1" t="s">
        <v>36</v>
      </c>
      <c r="C28" s="5" t="s">
        <v>67</v>
      </c>
      <c r="G28" s="2" t="str">
        <f>CONCATENATE(JUGADORESLOCALES[[#This Row],[NOMRBE]]," ", JUGADORESLOCALES[[#This Row],[APELLIDOS]])</f>
        <v>Doramas Medina Armas</v>
      </c>
      <c r="H28" s="2" t="str">
        <f>CONCATENATE(JUGADORESLOCALES[[#This Row],[DORSAL]]," ",JUGADORESLOCALES[[#This Row],[NOMRBE]]," ", JUGADORESLOCALES[[#This Row],[APELLIDOS]])</f>
        <v>27 Doramas Medina Armas</v>
      </c>
      <c r="I28" s="8">
        <v>639968324</v>
      </c>
      <c r="J28" s="8" t="s">
        <v>102</v>
      </c>
      <c r="K28" s="6">
        <v>78816118</v>
      </c>
    </row>
    <row r="29" spans="1:19" ht="15.75" thickBot="1" x14ac:dyDescent="0.3">
      <c r="A29" s="1">
        <v>28</v>
      </c>
      <c r="B29" s="1" t="s">
        <v>37</v>
      </c>
      <c r="C29" s="5" t="s">
        <v>68</v>
      </c>
      <c r="G29" s="2" t="str">
        <f>CONCATENATE(JUGADORESLOCALES[[#This Row],[NOMRBE]]," ", JUGADORESLOCALES[[#This Row],[APELLIDOS]])</f>
        <v>Acoran Rodríguez Rodríguez</v>
      </c>
      <c r="H29" s="2" t="str">
        <f>CONCATENATE(JUGADORESLOCALES[[#This Row],[DORSAL]]," ",JUGADORESLOCALES[[#This Row],[NOMRBE]]," ", JUGADORESLOCALES[[#This Row],[APELLIDOS]])</f>
        <v>28 Acoran Rodríguez Rodríguez</v>
      </c>
      <c r="I29" s="8">
        <v>691582978</v>
      </c>
      <c r="J29" s="8" t="s">
        <v>103</v>
      </c>
      <c r="K29" s="6">
        <v>78764311</v>
      </c>
    </row>
    <row r="30" spans="1:19" ht="15.75" thickBot="1" x14ac:dyDescent="0.3">
      <c r="A30" s="1">
        <v>29</v>
      </c>
      <c r="B30" s="1" t="s">
        <v>38</v>
      </c>
      <c r="C30" s="5" t="s">
        <v>69</v>
      </c>
      <c r="G30" s="2" t="str">
        <f>CONCATENATE(JUGADORESLOCALES[[#This Row],[NOMRBE]]," ", JUGADORESLOCALES[[#This Row],[APELLIDOS]])</f>
        <v>El Aarbi El Moumni</v>
      </c>
      <c r="H30" s="2" t="str">
        <f>CONCATENATE(JUGADORESLOCALES[[#This Row],[DORSAL]]," ",JUGADORESLOCALES[[#This Row],[NOMRBE]]," ", JUGADORESLOCALES[[#This Row],[APELLIDOS]])</f>
        <v>29 El Aarbi El Moumni</v>
      </c>
      <c r="I30" s="8">
        <v>610032578</v>
      </c>
      <c r="J30" s="8" t="s">
        <v>104</v>
      </c>
      <c r="K30" s="6">
        <v>1003757</v>
      </c>
    </row>
    <row r="31" spans="1:19" ht="15.75" thickBot="1" x14ac:dyDescent="0.3">
      <c r="A31" s="1">
        <v>30</v>
      </c>
      <c r="B31" s="1" t="s">
        <v>39</v>
      </c>
      <c r="C31" s="5" t="s">
        <v>70</v>
      </c>
      <c r="G31" s="2" t="str">
        <f>CONCATENATE(JUGADORESLOCALES[[#This Row],[NOMRBE]]," ", JUGADORESLOCALES[[#This Row],[APELLIDOS]])</f>
        <v>Cristian Gonzalez Romero</v>
      </c>
      <c r="H31" s="2" t="str">
        <f>CONCATENATE(JUGADORESLOCALES[[#This Row],[DORSAL]]," ",JUGADORESLOCALES[[#This Row],[NOMRBE]]," ", JUGADORESLOCALES[[#This Row],[APELLIDOS]])</f>
        <v>30 Cristian Gonzalez Romero</v>
      </c>
      <c r="I31" s="8">
        <v>618053214</v>
      </c>
      <c r="J31" s="8" t="s">
        <v>105</v>
      </c>
      <c r="K31" s="6">
        <v>78766283</v>
      </c>
    </row>
    <row r="32" spans="1:19" ht="15.75" thickBot="1" x14ac:dyDescent="0.3">
      <c r="A32" s="1">
        <v>31</v>
      </c>
      <c r="B32" s="1" t="s">
        <v>40</v>
      </c>
      <c r="C32" s="5" t="s">
        <v>67</v>
      </c>
      <c r="G32" s="2" t="str">
        <f>CONCATENATE(JUGADORESLOCALES[[#This Row],[NOMRBE]]," ", JUGADORESLOCALES[[#This Row],[APELLIDOS]])</f>
        <v>Guize Medina Armas</v>
      </c>
      <c r="H32" s="2" t="str">
        <f>CONCATENATE(JUGADORESLOCALES[[#This Row],[DORSAL]]," ",JUGADORESLOCALES[[#This Row],[NOMRBE]]," ", JUGADORESLOCALES[[#This Row],[APELLIDOS]])</f>
        <v>31 Guize Medina Armas</v>
      </c>
      <c r="I32" s="8">
        <v>683513449</v>
      </c>
      <c r="J32" s="8" t="s">
        <v>106</v>
      </c>
      <c r="K32" s="6">
        <v>78816117</v>
      </c>
    </row>
    <row r="33" spans="1:11" ht="27" thickBot="1" x14ac:dyDescent="0.3">
      <c r="A33" s="1">
        <v>32</v>
      </c>
      <c r="B33" s="1" t="s">
        <v>41</v>
      </c>
      <c r="C33" s="5" t="s">
        <v>71</v>
      </c>
      <c r="G33" s="2" t="str">
        <f>CONCATENATE(JUGADORESLOCALES[[#This Row],[NOMRBE]]," ", JUGADORESLOCALES[[#This Row],[APELLIDOS]])</f>
        <v xml:space="preserve">Benito Padrón rijo
</v>
      </c>
      <c r="H33" s="2" t="str">
        <f>CONCATENATE(JUGADORESLOCALES[[#This Row],[DORSAL]]," ",JUGADORESLOCALES[[#This Row],[NOMRBE]]," ", JUGADORESLOCALES[[#This Row],[APELLIDOS]])</f>
        <v xml:space="preserve">32 Benito Padrón rijo
</v>
      </c>
      <c r="I33" s="8">
        <v>652463549</v>
      </c>
      <c r="J33" s="8" t="s">
        <v>107</v>
      </c>
      <c r="K33" s="6">
        <v>42901299</v>
      </c>
    </row>
    <row r="34" spans="1:11" ht="15.75" thickBot="1" x14ac:dyDescent="0.3">
      <c r="A34" s="1">
        <v>33</v>
      </c>
      <c r="B34" s="1" t="s">
        <v>31</v>
      </c>
      <c r="C34" s="5" t="s">
        <v>72</v>
      </c>
      <c r="G34" s="2" t="str">
        <f>CONCATENATE(JUGADORESLOCALES[[#This Row],[NOMRBE]]," ", JUGADORESLOCALES[[#This Row],[APELLIDOS]])</f>
        <v>Adrián Herrera Hernández</v>
      </c>
      <c r="H34" s="2" t="str">
        <f>CONCATENATE(JUGADORESLOCALES[[#This Row],[DORSAL]]," ",JUGADORESLOCALES[[#This Row],[NOMRBE]]," ", JUGADORESLOCALES[[#This Row],[APELLIDOS]])</f>
        <v>33 Adrián Herrera Hernández</v>
      </c>
      <c r="I34" s="8">
        <v>618732233</v>
      </c>
      <c r="J34" s="8" t="s">
        <v>108</v>
      </c>
      <c r="K34" s="6">
        <v>78587204</v>
      </c>
    </row>
  </sheetData>
  <conditionalFormatting sqref="A1:A1048576">
    <cfRule type="cellIs" dxfId="31" priority="6" operator="between">
      <formula>1</formula>
      <formula>11</formula>
    </cfRule>
    <cfRule type="cellIs" dxfId="30" priority="5" operator="between">
      <formula>12</formula>
      <formula>16</formula>
    </cfRule>
    <cfRule type="cellIs" dxfId="29" priority="4" operator="between">
      <formula>17</formula>
      <formula>21</formula>
    </cfRule>
  </conditionalFormatting>
  <conditionalFormatting sqref="B23:B34">
    <cfRule type="cellIs" dxfId="28" priority="1" operator="between">
      <formula>17</formula>
      <formula>21</formula>
    </cfRule>
    <cfRule type="cellIs" dxfId="27" priority="2" operator="between">
      <formula>12</formula>
      <formula>16</formula>
    </cfRule>
    <cfRule type="cellIs" dxfId="26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S34"/>
  <sheetViews>
    <sheetView topLeftCell="A19" workbookViewId="0">
      <selection activeCell="H35" sqref="H35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19.140625" style="1" bestFit="1" customWidth="1"/>
    <col min="5" max="5" width="18.28515625" style="1" bestFit="1" customWidth="1"/>
    <col min="6" max="6" width="9.28515625" style="1" bestFit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119</v>
      </c>
      <c r="B1" s="1" t="s">
        <v>5</v>
      </c>
      <c r="C1" s="1" t="s">
        <v>6</v>
      </c>
      <c r="D1" s="1" t="s">
        <v>7</v>
      </c>
      <c r="E1" s="1" t="s">
        <v>9</v>
      </c>
      <c r="F1" s="1" t="s">
        <v>8</v>
      </c>
      <c r="G1" s="1" t="s">
        <v>10</v>
      </c>
      <c r="H1" s="1" t="s">
        <v>74</v>
      </c>
      <c r="I1" s="1" t="s">
        <v>73</v>
      </c>
      <c r="J1" s="1" t="s">
        <v>75</v>
      </c>
      <c r="K1" s="1" t="s">
        <v>109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9" t="s">
        <v>130</v>
      </c>
      <c r="C2" s="5" t="s">
        <v>131</v>
      </c>
      <c r="G2" s="1" t="str">
        <f>CONCATENATE(JUGADORESLOCALES3[[#This Row],[NOMRBE]]," ", JUGADORESLOCALES3[[#This Row],[APELLIDOS]])</f>
        <v>Ayoze Benitez Rodriguez</v>
      </c>
      <c r="H2" s="1" t="str">
        <f>CONCATENATE(JUGADORESLOCALES3[[#This Row],[15 Jorel Oriol González Morales]]," ",JUGADORESLOCALES3[[#This Row],[NOMRBE]]," ", JUGADORESLOCALES3[[#This Row],[APELLIDOS]])</f>
        <v>1 Ayoze Benitez Rodriguez</v>
      </c>
      <c r="I2" s="8">
        <v>608334827</v>
      </c>
      <c r="J2" s="8" t="s">
        <v>97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13</v>
      </c>
      <c r="C3" s="5" t="s">
        <v>43</v>
      </c>
      <c r="G3" s="1" t="str">
        <f>CONCATENATE(JUGADORESLOCALES3[[#This Row],[NOMRBE]]," ", JUGADORESLOCALES3[[#This Row],[APELLIDOS]])</f>
        <v>Marcial Felipe García Camacho</v>
      </c>
      <c r="H3" s="1" t="str">
        <f>CONCATENATE(JUGADORESLOCALES3[[#This Row],[15 Jorel Oriol González Morales]]," ",JUGADORESLOCALES3[[#This Row],[NOMRBE]]," ", JUGADORESLOCALES3[[#This Row],[APELLIDOS]])</f>
        <v>2 Marcial Felipe García Camacho</v>
      </c>
      <c r="I3" s="8">
        <v>676455217</v>
      </c>
      <c r="J3" s="8" t="s">
        <v>77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14</v>
      </c>
      <c r="C4" s="5" t="s">
        <v>44</v>
      </c>
      <c r="G4" s="1" t="str">
        <f>CONCATENATE(JUGADORESLOCALES3[[#This Row],[NOMRBE]]," ", JUGADORESLOCALES3[[#This Row],[APELLIDOS]])</f>
        <v>Rubén Martín Machín</v>
      </c>
      <c r="H4" s="1" t="str">
        <f>CONCATENATE(JUGADORESLOCALES3[[#This Row],[15 Jorel Oriol González Morales]]," ",JUGADORESLOCALES3[[#This Row],[NOMRBE]]," ", JUGADORESLOCALES3[[#This Row],[APELLIDOS]])</f>
        <v>3 Rubén Martín Machín</v>
      </c>
      <c r="I4" s="8">
        <v>637144545</v>
      </c>
      <c r="J4" s="8" t="s">
        <v>78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15</v>
      </c>
      <c r="C5" s="5" t="s">
        <v>45</v>
      </c>
      <c r="G5" s="1" t="str">
        <f>CONCATENATE(JUGADORESLOCALES3[[#This Row],[NOMRBE]]," ", JUGADORESLOCALES3[[#This Row],[APELLIDOS]])</f>
        <v>Ismael Cámara Dabo</v>
      </c>
      <c r="H5" s="1" t="str">
        <f>CONCATENATE(JUGADORESLOCALES3[[#This Row],[15 Jorel Oriol González Morales]]," ",JUGADORESLOCALES3[[#This Row],[NOMRBE]]," ", JUGADORESLOCALES3[[#This Row],[APELLIDOS]])</f>
        <v>4 Ismael Cámara Dabo</v>
      </c>
      <c r="I5" s="8">
        <v>602805021</v>
      </c>
      <c r="J5" s="8" t="s">
        <v>79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16</v>
      </c>
      <c r="C6" s="5" t="s">
        <v>46</v>
      </c>
      <c r="G6" s="1" t="str">
        <f>CONCATENATE(JUGADORESLOCALES3[[#This Row],[NOMRBE]]," ", JUGADORESLOCALES3[[#This Row],[APELLIDOS]])</f>
        <v>Joel Cedrés Rodríguez</v>
      </c>
      <c r="H6" s="1" t="str">
        <f>CONCATENATE(JUGADORESLOCALES3[[#This Row],[15 Jorel Oriol González Morales]]," ",JUGADORESLOCALES3[[#This Row],[NOMRBE]]," ", JUGADORESLOCALES3[[#This Row],[APELLIDOS]])</f>
        <v>5 Joel Cedrés Rodríguez</v>
      </c>
      <c r="I6" s="8">
        <v>685594955</v>
      </c>
      <c r="J6" s="8" t="s">
        <v>80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17</v>
      </c>
      <c r="C7" s="5" t="s">
        <v>47</v>
      </c>
      <c r="G7" s="1" t="str">
        <f>CONCATENATE(JUGADORESLOCALES3[[#This Row],[NOMRBE]]," ", JUGADORESLOCALES3[[#This Row],[APELLIDOS]])</f>
        <v>Daniel Ruano Rodríguez</v>
      </c>
      <c r="H7" s="1" t="str">
        <f>CONCATENATE(JUGADORESLOCALES3[[#This Row],[15 Jorel Oriol González Morales]]," ",JUGADORESLOCALES3[[#This Row],[NOMRBE]]," ", JUGADORESLOCALES3[[#This Row],[APELLIDOS]])</f>
        <v>6 Daniel Ruano Rodríguez</v>
      </c>
      <c r="I7" s="8">
        <v>626189258</v>
      </c>
      <c r="J7" s="8" t="s">
        <v>81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18</v>
      </c>
      <c r="C8" s="5" t="s">
        <v>48</v>
      </c>
      <c r="G8" s="1" t="str">
        <f>CONCATENATE(JUGADORESLOCALES3[[#This Row],[NOMRBE]]," ", JUGADORESLOCALES3[[#This Row],[APELLIDOS]])</f>
        <v>Aridany Elvira Reyes</v>
      </c>
      <c r="H8" s="1" t="str">
        <f>CONCATENATE(JUGADORESLOCALES3[[#This Row],[15 Jorel Oriol González Morales]]," ",JUGADORESLOCALES3[[#This Row],[NOMRBE]]," ", JUGADORESLOCALES3[[#This Row],[APELLIDOS]])</f>
        <v>7 Aridany Elvira Reyes</v>
      </c>
      <c r="I8" s="8">
        <v>618611252</v>
      </c>
      <c r="J8" s="8" t="s">
        <v>82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19</v>
      </c>
      <c r="C9" s="5" t="s">
        <v>49</v>
      </c>
      <c r="G9" s="1" t="str">
        <f>CONCATENATE(JUGADORESLOCALES3[[#This Row],[NOMRBE]]," ", JUGADORESLOCALES3[[#This Row],[APELLIDOS]])</f>
        <v>Sergio Mateo</v>
      </c>
      <c r="H9" s="1" t="str">
        <f>CONCATENATE(JUGADORESLOCALES3[[#This Row],[15 Jorel Oriol González Morales]]," ",JUGADORESLOCALES3[[#This Row],[NOMRBE]]," ", JUGADORESLOCALES3[[#This Row],[APELLIDOS]])</f>
        <v>8 Sergio Mateo</v>
      </c>
      <c r="I9" s="8">
        <v>628516848</v>
      </c>
      <c r="J9" s="8" t="s">
        <v>83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20</v>
      </c>
      <c r="C10" s="5" t="s">
        <v>50</v>
      </c>
      <c r="G10" s="1" t="str">
        <f>CONCATENATE(JUGADORESLOCALES3[[#This Row],[NOMRBE]]," ", JUGADORESLOCALES3[[#This Row],[APELLIDOS]])</f>
        <v>Mayron Javier Navarro Hernandez</v>
      </c>
      <c r="H10" s="1" t="str">
        <f>CONCATENATE(JUGADORESLOCALES3[[#This Row],[15 Jorel Oriol González Morales]]," ",JUGADORESLOCALES3[[#This Row],[NOMRBE]]," ", JUGADORESLOCALES3[[#This Row],[APELLIDOS]])</f>
        <v>9 Mayron Javier Navarro Hernandez</v>
      </c>
      <c r="I10" s="8">
        <v>659956873</v>
      </c>
      <c r="J10" s="8" t="s">
        <v>84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21</v>
      </c>
      <c r="C11" s="5" t="s">
        <v>51</v>
      </c>
      <c r="G11" s="1" t="str">
        <f>CONCATENATE(JUGADORESLOCALES3[[#This Row],[NOMRBE]]," ", JUGADORESLOCALES3[[#This Row],[APELLIDOS]])</f>
        <v>Carlos Toledo</v>
      </c>
      <c r="H11" s="1" t="str">
        <f>CONCATENATE(JUGADORESLOCALES3[[#This Row],[15 Jorel Oriol González Morales]]," ",JUGADORESLOCALES3[[#This Row],[NOMRBE]]," ", JUGADORESLOCALES3[[#This Row],[APELLIDOS]])</f>
        <v>10 Carlos Toledo</v>
      </c>
      <c r="I11" s="8">
        <v>626942473</v>
      </c>
      <c r="J11" s="8" t="s">
        <v>85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22</v>
      </c>
      <c r="C12" s="5" t="s">
        <v>52</v>
      </c>
      <c r="G12" s="1" t="str">
        <f>CONCATENATE(JUGADORESLOCALES3[[#This Row],[NOMRBE]]," ", JUGADORESLOCALES3[[#This Row],[APELLIDOS]])</f>
        <v>Guisevi Ie Dju</v>
      </c>
      <c r="H12" s="1" t="str">
        <f>CONCATENATE(JUGADORESLOCALES3[[#This Row],[15 Jorel Oriol González Morales]]," ",JUGADORESLOCALES3[[#This Row],[NOMRBE]]," ", JUGADORESLOCALES3[[#This Row],[APELLIDOS]])</f>
        <v>11 Guisevi Ie Dju</v>
      </c>
      <c r="I12" s="8">
        <v>631365961</v>
      </c>
      <c r="J12" s="8" t="s">
        <v>86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23</v>
      </c>
      <c r="C13" s="5" t="s">
        <v>53</v>
      </c>
      <c r="G13" s="1" t="str">
        <f>CONCATENATE(JUGADORESLOCALES3[[#This Row],[NOMRBE]]," ", JUGADORESLOCALES3[[#This Row],[APELLIDOS]])</f>
        <v>Clemente Gomes Batista</v>
      </c>
      <c r="H13" s="1" t="str">
        <f>CONCATENATE(JUGADORESLOCALES3[[#This Row],[15 Jorel Oriol González Morales]]," ",JUGADORESLOCALES3[[#This Row],[NOMRBE]]," ", JUGADORESLOCALES3[[#This Row],[APELLIDOS]])</f>
        <v>12 Clemente Gomes Batista</v>
      </c>
      <c r="I13" s="8">
        <v>612451957</v>
      </c>
      <c r="J13" s="8" t="s">
        <v>87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24</v>
      </c>
      <c r="C14" s="5" t="s">
        <v>54</v>
      </c>
      <c r="G14" s="1" t="str">
        <f>CONCATENATE(JUGADORESLOCALES3[[#This Row],[NOMRBE]]," ", JUGADORESLOCALES3[[#This Row],[APELLIDOS]])</f>
        <v>Kimi Løkkevik</v>
      </c>
      <c r="H14" s="1" t="str">
        <f>CONCATENATE(JUGADORESLOCALES3[[#This Row],[15 Jorel Oriol González Morales]]," ",JUGADORESLOCALES3[[#This Row],[NOMRBE]]," ", JUGADORESLOCALES3[[#This Row],[APELLIDOS]])</f>
        <v>13 Kimi Løkkevik</v>
      </c>
      <c r="I14" s="8">
        <v>4917673243384</v>
      </c>
      <c r="J14" s="8" t="s">
        <v>88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25</v>
      </c>
      <c r="C15" s="5" t="s">
        <v>55</v>
      </c>
      <c r="G15" s="1" t="str">
        <f>CONCATENATE(JUGADORESLOCALES3[[#This Row],[NOMRBE]]," ", JUGADORESLOCALES3[[#This Row],[APELLIDOS]])</f>
        <v>Acorán Hernández Hernández</v>
      </c>
      <c r="H15" s="1" t="str">
        <f>CONCATENATE(JUGADORESLOCALES3[[#This Row],[15 Jorel Oriol González Morales]]," ",JUGADORESLOCALES3[[#This Row],[NOMRBE]]," ", JUGADORESLOCALES3[[#This Row],[APELLIDOS]])</f>
        <v>14 Acorán Hernández Hernández</v>
      </c>
      <c r="I15" s="8">
        <v>691624685</v>
      </c>
      <c r="J15" s="8" t="s">
        <v>89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26</v>
      </c>
      <c r="C16" s="5" t="s">
        <v>56</v>
      </c>
      <c r="G16" s="1" t="str">
        <f>CONCATENATE(JUGADORESLOCALES3[[#This Row],[NOMRBE]]," ", JUGADORESLOCALES3[[#This Row],[APELLIDOS]])</f>
        <v>Jorel Oriol González Morales</v>
      </c>
      <c r="H16" s="1" t="str">
        <f>CONCATENATE(JUGADORESLOCALES3[[#This Row],[15 Jorel Oriol González Morales]]," ",JUGADORESLOCALES3[[#This Row],[NOMRBE]]," ", JUGADORESLOCALES3[[#This Row],[APELLIDOS]])</f>
        <v>15 Jorel Oriol González Morales</v>
      </c>
      <c r="I16" s="8">
        <v>697287419</v>
      </c>
      <c r="J16" s="8" t="s">
        <v>90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27</v>
      </c>
      <c r="C17" s="5" t="s">
        <v>57</v>
      </c>
      <c r="G17" s="1" t="str">
        <f>CONCATENATE(JUGADORESLOCALES3[[#This Row],[NOMRBE]]," ", JUGADORESLOCALES3[[#This Row],[APELLIDOS]])</f>
        <v>Fabián Luzardo Caraballo</v>
      </c>
      <c r="H17" s="1" t="str">
        <f>CONCATENATE(JUGADORESLOCALES3[[#This Row],[15 Jorel Oriol González Morales]]," ",JUGADORESLOCALES3[[#This Row],[NOMRBE]]," ", JUGADORESLOCALES3[[#This Row],[APELLIDOS]])</f>
        <v>16 Fabián Luzardo Caraballo</v>
      </c>
      <c r="I17" s="8">
        <v>634598224</v>
      </c>
      <c r="J17" s="8" t="s">
        <v>91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11</v>
      </c>
      <c r="C18" s="5" t="s">
        <v>59</v>
      </c>
      <c r="G18" s="1" t="str">
        <f>CONCATENATE(JUGADORESLOCALES3[[#This Row],[NOMRBE]]," ", JUGADORESLOCALES3[[#This Row],[APELLIDOS]])</f>
        <v>Basilio Coco Basséy Eyanga</v>
      </c>
      <c r="H18" s="1" t="str">
        <f>CONCATENATE(JUGADORESLOCALES3[[#This Row],[15 Jorel Oriol González Morales]]," ",JUGADORESLOCALES3[[#This Row],[NOMRBE]]," ", JUGADORESLOCALES3[[#This Row],[APELLIDOS]])</f>
        <v>17 Basilio Coco Basséy Eyanga</v>
      </c>
      <c r="I18" s="8">
        <v>649180896</v>
      </c>
      <c r="J18" s="8" t="s">
        <v>93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32</v>
      </c>
      <c r="C19" s="5" t="s">
        <v>63</v>
      </c>
      <c r="G19" s="1" t="str">
        <f>CONCATENATE(JUGADORESLOCALES3[[#This Row],[NOMRBE]]," ", JUGADORESLOCALES3[[#This Row],[APELLIDOS]])</f>
        <v>Esteban Gutierrez villafañe</v>
      </c>
      <c r="H19" s="1" t="str">
        <f>CONCATENATE(JUGADORESLOCALES3[[#This Row],[15 Jorel Oriol González Morales]]," ",JUGADORESLOCALES3[[#This Row],[NOMRBE]]," ", JUGADORESLOCALES3[[#This Row],[APELLIDOS]])</f>
        <v>18 Esteban Gutierrez villafañe</v>
      </c>
      <c r="I19" s="8">
        <v>604281931</v>
      </c>
      <c r="J19" s="8" t="s">
        <v>98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29</v>
      </c>
      <c r="C20" s="5" t="s">
        <v>60</v>
      </c>
      <c r="G20" s="1" t="str">
        <f>CONCATENATE(JUGADORESLOCALES3[[#This Row],[NOMRBE]]," ", JUGADORESLOCALES3[[#This Row],[APELLIDOS]])</f>
        <v>Rayco Pérez González</v>
      </c>
      <c r="H20" s="1" t="str">
        <f>CONCATENATE(JUGADORESLOCALES3[[#This Row],[15 Jorel Oriol González Morales]]," ",JUGADORESLOCALES3[[#This Row],[NOMRBE]]," ", JUGADORESLOCALES3[[#This Row],[APELLIDOS]])</f>
        <v>19 Rayco Pérez González</v>
      </c>
      <c r="I20" s="8">
        <v>608674220</v>
      </c>
      <c r="J20" s="8" t="s">
        <v>94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30</v>
      </c>
      <c r="C21" s="5" t="s">
        <v>61</v>
      </c>
      <c r="G21" s="1" t="str">
        <f>CONCATENATE(JUGADORESLOCALES3[[#This Row],[NOMRBE]]," ", JUGADORESLOCALES3[[#This Row],[APELLIDOS]])</f>
        <v>Ian Olivero Tavío</v>
      </c>
      <c r="H21" s="1" t="str">
        <f>CONCATENATE(JUGADORESLOCALES3[[#This Row],[15 Jorel Oriol González Morales]]," ",JUGADORESLOCALES3[[#This Row],[NOMRBE]]," ", JUGADORESLOCALES3[[#This Row],[APELLIDOS]])</f>
        <v>20 Ian Olivero Tavío</v>
      </c>
      <c r="I21" s="8">
        <v>608465346</v>
      </c>
      <c r="J21" s="8" t="s">
        <v>95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31</v>
      </c>
      <c r="C22" s="5" t="s">
        <v>62</v>
      </c>
      <c r="G22" s="1" t="str">
        <f>CONCATENATE(JUGADORESLOCALES3[[#This Row],[NOMRBE]]," ", JUGADORESLOCALES3[[#This Row],[APELLIDOS]])</f>
        <v>Adrián Padrón Calderín</v>
      </c>
      <c r="H22" s="1" t="str">
        <f>CONCATENATE(JUGADORESLOCALES3[[#This Row],[15 Jorel Oriol González Morales]]," ",JUGADORESLOCALES3[[#This Row],[NOMRBE]]," ", JUGADORESLOCALES3[[#This Row],[APELLIDOS]])</f>
        <v>21 Adrián Padrón Calderín</v>
      </c>
      <c r="I22" s="8">
        <v>656288997</v>
      </c>
      <c r="J22" s="8" t="s">
        <v>96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12</v>
      </c>
      <c r="C23" s="5" t="s">
        <v>42</v>
      </c>
      <c r="G23" s="1" t="str">
        <f>CONCATENATE(JUGADORESLOCALES3[[#This Row],[NOMRBE]]," ", JUGADORESLOCALES3[[#This Row],[APELLIDOS]])</f>
        <v>Ander Pouso Blanco</v>
      </c>
      <c r="H23" s="1" t="str">
        <f>CONCATENATE(JUGADORESLOCALES3[[#This Row],[15 Jorel Oriol González Morales]]," ",JUGADORESLOCALES3[[#This Row],[NOMRBE]]," ", JUGADORESLOCALES3[[#This Row],[APELLIDOS]])</f>
        <v>22 Ander Pouso Blanco</v>
      </c>
      <c r="I23" s="8">
        <v>626775329</v>
      </c>
      <c r="J23" s="8" t="s">
        <v>76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28</v>
      </c>
      <c r="C24" s="5" t="s">
        <v>58</v>
      </c>
      <c r="G24" s="1" t="str">
        <f>CONCATENATE(JUGADORESLOCALES3[[#This Row],[NOMRBE]]," ", JUGADORESLOCALES3[[#This Row],[APELLIDOS]])</f>
        <v>Carlos Javier Betancor de León</v>
      </c>
      <c r="H24" s="1" t="str">
        <f>CONCATENATE(JUGADORESLOCALES3[[#This Row],[15 Jorel Oriol González Morales]]," ",JUGADORESLOCALES3[[#This Row],[NOMRBE]]," ", JUGADORESLOCALES3[[#This Row],[APELLIDOS]])</f>
        <v>23 Carlos Javier Betancor de León</v>
      </c>
      <c r="I24" s="8">
        <v>639493646</v>
      </c>
      <c r="J24" s="8" t="s">
        <v>92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33</v>
      </c>
      <c r="C25" s="5" t="s">
        <v>64</v>
      </c>
      <c r="G25" s="1" t="str">
        <f>CONCATENATE(JUGADORESLOCALES3[[#This Row],[NOMRBE]]," ", JUGADORESLOCALES3[[#This Row],[APELLIDOS]])</f>
        <v>Aaron Cruz gonzalez</v>
      </c>
      <c r="H25" s="1" t="str">
        <f>CONCATENATE(JUGADORESLOCALES3[[#This Row],[15 Jorel Oriol González Morales]]," ",JUGADORESLOCALES3[[#This Row],[NOMRBE]]," ", JUGADORESLOCALES3[[#This Row],[APELLIDOS]])</f>
        <v>24 Aaron Cruz gonzalez</v>
      </c>
      <c r="I25" s="8">
        <v>630226908</v>
      </c>
      <c r="J25" s="8" t="s">
        <v>99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34</v>
      </c>
      <c r="C26" s="5" t="s">
        <v>65</v>
      </c>
      <c r="G26" s="2" t="str">
        <f>CONCATENATE(JUGADORESLOCALES3[[#This Row],[NOMRBE]]," ", JUGADORESLOCALES3[[#This Row],[APELLIDOS]])</f>
        <v>Iván Carlos González Falero</v>
      </c>
      <c r="H26" s="2" t="str">
        <f>CONCATENATE(JUGADORESLOCALES3[[#This Row],[15 Jorel Oriol González Morales]]," ",JUGADORESLOCALES3[[#This Row],[NOMRBE]]," ", JUGADORESLOCALES3[[#This Row],[APELLIDOS]])</f>
        <v>25 Iván Carlos González Falero</v>
      </c>
      <c r="I26" s="8">
        <v>699350272</v>
      </c>
      <c r="J26" s="8" t="s">
        <v>100</v>
      </c>
      <c r="K26" s="6">
        <v>42919785</v>
      </c>
    </row>
    <row r="27" spans="1:19" ht="15.75" thickBot="1" x14ac:dyDescent="0.3">
      <c r="A27" s="1">
        <v>26</v>
      </c>
      <c r="B27" s="1" t="s">
        <v>35</v>
      </c>
      <c r="C27" s="5" t="s">
        <v>66</v>
      </c>
      <c r="G27" s="2" t="str">
        <f>CONCATENATE(JUGADORESLOCALES3[[#This Row],[NOMRBE]]," ", JUGADORESLOCALES3[[#This Row],[APELLIDOS]])</f>
        <v>Álvaro Machín Cejas</v>
      </c>
      <c r="H27" s="2" t="str">
        <f>CONCATENATE(JUGADORESLOCALES3[[#This Row],[15 Jorel Oriol González Morales]]," ",JUGADORESLOCALES3[[#This Row],[NOMRBE]]," ", JUGADORESLOCALES3[[#This Row],[APELLIDOS]])</f>
        <v>26 Álvaro Machín Cejas</v>
      </c>
      <c r="I27" s="8">
        <v>683359678</v>
      </c>
      <c r="J27" s="8" t="s">
        <v>101</v>
      </c>
      <c r="K27" s="6">
        <v>78818674</v>
      </c>
    </row>
    <row r="28" spans="1:19" ht="15.75" thickBot="1" x14ac:dyDescent="0.3">
      <c r="A28" s="1">
        <v>27</v>
      </c>
      <c r="B28" s="1" t="s">
        <v>36</v>
      </c>
      <c r="C28" s="5" t="s">
        <v>67</v>
      </c>
      <c r="G28" s="2" t="str">
        <f>CONCATENATE(JUGADORESLOCALES3[[#This Row],[NOMRBE]]," ", JUGADORESLOCALES3[[#This Row],[APELLIDOS]])</f>
        <v>Doramas Medina Armas</v>
      </c>
      <c r="H28" s="2" t="str">
        <f>CONCATENATE(JUGADORESLOCALES3[[#This Row],[15 Jorel Oriol González Morales]]," ",JUGADORESLOCALES3[[#This Row],[NOMRBE]]," ", JUGADORESLOCALES3[[#This Row],[APELLIDOS]])</f>
        <v>27 Doramas Medina Armas</v>
      </c>
      <c r="I28" s="8">
        <v>639968324</v>
      </c>
      <c r="J28" s="8" t="s">
        <v>102</v>
      </c>
      <c r="K28" s="6">
        <v>78816118</v>
      </c>
    </row>
    <row r="29" spans="1:19" ht="15.75" thickBot="1" x14ac:dyDescent="0.3">
      <c r="A29" s="1">
        <v>28</v>
      </c>
      <c r="B29" s="1" t="s">
        <v>37</v>
      </c>
      <c r="C29" s="5" t="s">
        <v>68</v>
      </c>
      <c r="G29" s="2" t="str">
        <f>CONCATENATE(JUGADORESLOCALES3[[#This Row],[NOMRBE]]," ", JUGADORESLOCALES3[[#This Row],[APELLIDOS]])</f>
        <v>Acoran Rodríguez Rodríguez</v>
      </c>
      <c r="H29" s="2" t="str">
        <f>CONCATENATE(JUGADORESLOCALES3[[#This Row],[15 Jorel Oriol González Morales]]," ",JUGADORESLOCALES3[[#This Row],[NOMRBE]]," ", JUGADORESLOCALES3[[#This Row],[APELLIDOS]])</f>
        <v>28 Acoran Rodríguez Rodríguez</v>
      </c>
      <c r="I29" s="8">
        <v>691582978</v>
      </c>
      <c r="J29" s="8" t="s">
        <v>103</v>
      </c>
      <c r="K29" s="6">
        <v>78764311</v>
      </c>
    </row>
    <row r="30" spans="1:19" ht="15.75" thickBot="1" x14ac:dyDescent="0.3">
      <c r="A30" s="1">
        <v>29</v>
      </c>
      <c r="B30" s="1" t="s">
        <v>38</v>
      </c>
      <c r="C30" s="5" t="s">
        <v>69</v>
      </c>
      <c r="G30" s="2" t="str">
        <f>CONCATENATE(JUGADORESLOCALES3[[#This Row],[NOMRBE]]," ", JUGADORESLOCALES3[[#This Row],[APELLIDOS]])</f>
        <v>El Aarbi El Moumni</v>
      </c>
      <c r="H30" s="2" t="str">
        <f>CONCATENATE(JUGADORESLOCALES3[[#This Row],[15 Jorel Oriol González Morales]]," ",JUGADORESLOCALES3[[#This Row],[NOMRBE]]," ", JUGADORESLOCALES3[[#This Row],[APELLIDOS]])</f>
        <v>29 El Aarbi El Moumni</v>
      </c>
      <c r="I30" s="8">
        <v>610032578</v>
      </c>
      <c r="J30" s="8" t="s">
        <v>104</v>
      </c>
      <c r="K30" s="6">
        <v>1003757</v>
      </c>
    </row>
    <row r="31" spans="1:19" ht="15.75" thickBot="1" x14ac:dyDescent="0.3">
      <c r="A31" s="1">
        <v>30</v>
      </c>
      <c r="B31" s="1" t="s">
        <v>39</v>
      </c>
      <c r="C31" s="5" t="s">
        <v>70</v>
      </c>
      <c r="G31" s="2" t="str">
        <f>CONCATENATE(JUGADORESLOCALES3[[#This Row],[NOMRBE]]," ", JUGADORESLOCALES3[[#This Row],[APELLIDOS]])</f>
        <v>Cristian Gonzalez Romero</v>
      </c>
      <c r="H31" s="2" t="str">
        <f>CONCATENATE(JUGADORESLOCALES3[[#This Row],[15 Jorel Oriol González Morales]]," ",JUGADORESLOCALES3[[#This Row],[NOMRBE]]," ", JUGADORESLOCALES3[[#This Row],[APELLIDOS]])</f>
        <v>30 Cristian Gonzalez Romero</v>
      </c>
      <c r="I31" s="8">
        <v>618053214</v>
      </c>
      <c r="J31" s="8" t="s">
        <v>105</v>
      </c>
      <c r="K31" s="6">
        <v>78766283</v>
      </c>
    </row>
    <row r="32" spans="1:19" ht="15.75" thickBot="1" x14ac:dyDescent="0.3">
      <c r="A32" s="1">
        <v>31</v>
      </c>
      <c r="B32" s="1" t="s">
        <v>40</v>
      </c>
      <c r="C32" s="5" t="s">
        <v>67</v>
      </c>
      <c r="G32" s="2" t="str">
        <f>CONCATENATE(JUGADORESLOCALES3[[#This Row],[NOMRBE]]," ", JUGADORESLOCALES3[[#This Row],[APELLIDOS]])</f>
        <v>Guize Medina Armas</v>
      </c>
      <c r="H32" s="2" t="str">
        <f>CONCATENATE(JUGADORESLOCALES3[[#This Row],[15 Jorel Oriol González Morales]]," ",JUGADORESLOCALES3[[#This Row],[NOMRBE]]," ", JUGADORESLOCALES3[[#This Row],[APELLIDOS]])</f>
        <v>31 Guize Medina Armas</v>
      </c>
      <c r="I32" s="8">
        <v>683513449</v>
      </c>
      <c r="J32" s="8" t="s">
        <v>106</v>
      </c>
      <c r="K32" s="6">
        <v>78816117</v>
      </c>
    </row>
    <row r="33" spans="1:11" ht="27" thickBot="1" x14ac:dyDescent="0.3">
      <c r="A33" s="1">
        <v>32</v>
      </c>
      <c r="B33" s="1" t="s">
        <v>41</v>
      </c>
      <c r="C33" s="5" t="s">
        <v>71</v>
      </c>
      <c r="G33" s="2" t="str">
        <f>CONCATENATE(JUGADORESLOCALES3[[#This Row],[NOMRBE]]," ", JUGADORESLOCALES3[[#This Row],[APELLIDOS]])</f>
        <v xml:space="preserve">Benito Padrón rijo
</v>
      </c>
      <c r="H33" s="2" t="str">
        <f>CONCATENATE(JUGADORESLOCALES3[[#This Row],[15 Jorel Oriol González Morales]]," ",JUGADORESLOCALES3[[#This Row],[NOMRBE]]," ", JUGADORESLOCALES3[[#This Row],[APELLIDOS]])</f>
        <v xml:space="preserve">32 Benito Padrón rijo
</v>
      </c>
      <c r="I33" s="8">
        <v>652463549</v>
      </c>
      <c r="J33" s="8" t="s">
        <v>107</v>
      </c>
      <c r="K33" s="6">
        <v>42901299</v>
      </c>
    </row>
    <row r="34" spans="1:11" ht="15.75" thickBot="1" x14ac:dyDescent="0.3">
      <c r="A34" s="1">
        <v>33</v>
      </c>
      <c r="B34" s="1" t="s">
        <v>31</v>
      </c>
      <c r="C34" s="5" t="s">
        <v>72</v>
      </c>
      <c r="G34" s="2" t="str">
        <f>CONCATENATE(JUGADORESLOCALES3[[#This Row],[NOMRBE]]," ", JUGADORESLOCALES3[[#This Row],[APELLIDOS]])</f>
        <v>Adrián Herrera Hernández</v>
      </c>
      <c r="H34" s="2" t="str">
        <f>CONCATENATE(JUGADORESLOCALES3[[#This Row],[15 Jorel Oriol González Morales]]," ",JUGADORESLOCALES3[[#This Row],[NOMRBE]]," ", JUGADORESLOCALES3[[#This Row],[APELLIDOS]])</f>
        <v>33 Adrián Herrera Hernández</v>
      </c>
      <c r="I34" s="8">
        <v>618732233</v>
      </c>
      <c r="J34" s="8" t="s">
        <v>108</v>
      </c>
      <c r="K34" s="6">
        <v>78587204</v>
      </c>
    </row>
  </sheetData>
  <conditionalFormatting sqref="A1:A1048576">
    <cfRule type="cellIs" dxfId="15" priority="4" operator="between">
      <formula>17</formula>
      <formula>21</formula>
    </cfRule>
    <cfRule type="cellIs" dxfId="14" priority="5" operator="between">
      <formula>12</formula>
      <formula>16</formula>
    </cfRule>
    <cfRule type="cellIs" dxfId="13" priority="6" operator="between">
      <formula>1</formula>
      <formula>11</formula>
    </cfRule>
  </conditionalFormatting>
  <conditionalFormatting sqref="B23:B34">
    <cfRule type="cellIs" dxfId="12" priority="1" operator="between">
      <formula>17</formula>
      <formula>21</formula>
    </cfRule>
    <cfRule type="cellIs" dxfId="11" priority="2" operator="between">
      <formula>12</formula>
      <formula>16</formula>
    </cfRule>
    <cfRule type="cellIs" dxfId="10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activeCell="C29" sqref="C29"/>
    </sheetView>
  </sheetViews>
  <sheetFormatPr baseColWidth="10" defaultRowHeight="15" x14ac:dyDescent="0.25"/>
  <sheetData>
    <row r="1" spans="1:1" x14ac:dyDescent="0.25">
      <c r="A1">
        <f>PARAMETROS!D2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MENU</vt:lpstr>
      <vt:lpstr>Hoja1</vt:lpstr>
      <vt:lpstr>PARAMETROS</vt:lpstr>
      <vt:lpstr>TGOLEADORES</vt:lpstr>
      <vt:lpstr>ELOCAL</vt:lpstr>
      <vt:lpstr>EVISITANTE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2021-05-15T08:22:09Z</dcterms:modified>
</cp:coreProperties>
</file>