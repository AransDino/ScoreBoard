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TGOLEADORES" sheetId="7" r:id="rId3"/>
    <sheet name="ELOCAL" sheetId="5" r:id="rId4"/>
    <sheet name="EVISITANTE" sheetId="6" r:id="rId5"/>
    <sheet name="M.LOCAL" sheetId="3" r:id="rId6"/>
    <sheet name="M.VISITANTE" sheetId="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8" i="7"/>
  <c r="S7" i="7"/>
  <c r="S6" i="7"/>
  <c r="S5" i="7"/>
  <c r="S4" i="7"/>
  <c r="S3" i="7"/>
  <c r="S2" i="7"/>
  <c r="S21" i="7"/>
  <c r="S20" i="7"/>
  <c r="S19" i="7"/>
  <c r="S18" i="7"/>
  <c r="S17" i="7"/>
  <c r="S16" i="7"/>
  <c r="S15" i="7"/>
  <c r="S37" i="7" l="1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<sst xmlns="http://schemas.openxmlformats.org/spreadsheetml/2006/main" count="275" uniqueCount="134">
  <si>
    <t>NOMBRE EQUIPO LOCAL</t>
  </si>
  <si>
    <t>NOMBRE EQUIPO VISITANTE</t>
  </si>
  <si>
    <t>RESULTADO</t>
  </si>
  <si>
    <t>O.MARITIMA</t>
  </si>
  <si>
    <t>UNION VIERA</t>
  </si>
  <si>
    <t>ONLINE</t>
  </si>
  <si>
    <t>DORSAL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</si>
  <si>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</si>
  <si>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</si>
  <si>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</si>
  <si>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</si>
  <si>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</si>
  <si>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</si>
  <si>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</si>
  <si>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</si>
  <si>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</si>
  <si>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</si>
  <si>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</si>
  <si>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</si>
  <si>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</si>
  <si>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</si>
  <si>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</si>
  <si>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</si>
  <si>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</si>
  <si>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</si>
  <si>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</si>
  <si>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</si>
  <si>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</si>
  <si>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</si>
  <si>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</si>
  <si>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</si>
  <si>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</si>
  <si>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</si>
  <si>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</si>
  <si>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Abián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</si>
  <si>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</si>
  <si>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</si>
  <si>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</si>
  <si>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</si>
  <si>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</si>
  <si>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</si>
  <si>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</si>
  <si>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</si>
  <si>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</si>
  <si>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</si>
  <si>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</si>
  <si>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</si>
  <si>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</si>
  <si>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</si>
  <si>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</si>
  <si>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</si>
  <si>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</si>
  <si>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</si>
  <si>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</si>
  <si>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</si>
  <si>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</si>
  <si>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</si>
  <si>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</si>
  <si>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</si>
  <si>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</si>
  <si>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</si>
  <si>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</si>
  <si>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</si>
  <si>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</si>
  <si>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</si>
  <si>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</si>
  <si>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Pérez Hernández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</si>
  <si>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</si>
  <si>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</si>
  <si>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</si>
  <si>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</si>
  <si>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</si>
  <si>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</si>
  <si>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</si>
  <si>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</si>
  <si>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</si>
  <si>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</si>
  <si>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</si>
  <si>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</si>
  <si>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</si>
  <si>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</si>
  <si>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</si>
  <si>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</si>
  <si>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</si>
  <si>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</si>
  <si>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</si>
  <si>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</si>
  <si>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</si>
  <si>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</si>
  <si>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</si>
  <si>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</si>
  <si>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</si>
  <si>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</si>
  <si>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</si>
  <si>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</si>
  <si>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</si>
  <si>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</si>
  <si>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</si>
  <si>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</si>
  <si>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</si>
  <si>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</si>
  <si>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</si>
  <si>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</si>
  <si>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</si>
  <si>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</si>
  <si>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</si>
  <si>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</si>
  <si>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</si>
  <si>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</si>
  <si>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</si>
  <si>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</si>
  <si>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</si>
  <si>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</si>
  <si>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</si>
  <si>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</si>
  <si>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</si>
  <si>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</si>
  <si>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</si>
  <si>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</si>
  <si>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</si>
  <si>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</si>
  <si>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</si>
  <si>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</si>
  <si>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</si>
  <si>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</si>
  <si>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</si>
  <si>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</si>
  <si>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</si>
  <si>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</si>
  <si>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</si>
  <si>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</si>
  <si>
    <t>rutamarcadorgrande</t>
  </si>
  <si>
    <t>rutafotosjugadoreslocales</t>
  </si>
  <si>
    <t>rutalogosequipos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</si>
</sst>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25" dataDxfId="24">
  <autoFilter ref="A1:K34"/>
  <sortState ref="A2:K34">
    <sortCondition ref="A2"/>
  </sortState>
  <tableColumns count="11">
    <tableColumn id="1" name="DORSAL" dataDxfId="23"/>
    <tableColumn id="2" name="NOMRBE"/>
    <tableColumn id="3" name="APELLIDOS"/>
    <tableColumn id="4" name="DEMARCACION" dataDxfId="22"/>
    <tableColumn id="5" name="observaciones" dataDxfId="21"/>
    <tableColumn id="6" name="foto" dataDxfId="20"/>
    <tableColumn id="8" name="concatenado" dataDxfId="19">
      <calculatedColumnFormula>CONCATENATE(JUGADORESLOCALES[[#This Row],[NOMRBE]]," ", JUGADORESLOCALES[[#This Row],[APELLIDOS]])</calculatedColumnFormula>
    </tableColumn>
    <tableColumn id="9" name="concatenadon" dataDxfId="18">
      <calculatedColumnFormula>CONCATENATE(JUGADORESLOCALES[[#This Row],[DORSAL]]," ",JUGADORESLOCALES[[#This Row],[NOMRBE]]," ", JUGADORESLOCALES[[#This Row],[APELLIDOS]])</calculatedColumnFormula>
    </tableColumn>
    <tableColumn id="7" name="telfono" dataDxfId="17"/>
    <tableColumn id="10" name="mail" dataDxfId="16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DORSAL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Row],[DORSAL]],"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F13" sqref="F1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"/>
  <sheetViews>
    <sheetView tabSelected="1" workbookViewId="0">
      <selection activeCell="D2" sqref="D2"/>
    </sheetView>
  </sheetViews>
  <sheetFormatPr baseColWidth="10" defaultRowHeight="15" x14ac:dyDescent="0.25"/>
  <cols>
    <col min="1" max="1" width="26" bestFit="1" customWidth="1"/>
    <col min="2" max="2" width="12.5703125" customWidth="1"/>
    <col min="3" max="3" width="33.5703125" customWidth="1"/>
    <col min="10" max="10" width="29.42578125" customWidth="1"/>
  </cols>
  <sheetData>
    <row r="1" spans="1:10" x14ac:dyDescent="0.25">
      <c r="D1" t="s">
        <v>2</v>
      </c>
      <c r="E1" t="s">
        <v>5</v>
      </c>
      <c r="J1" t="s">
        <v>131</v>
      </c>
    </row>
    <row r="2" spans="1:10" x14ac:dyDescent="0.25">
      <c r="A2" t="s">
        <v>0</v>
      </c>
      <c r="C2" t="s">
        <v>3</v>
      </c>
      <c r="D2">
        <v>1</v>
      </c>
      <c r="E2">
        <v>1</v>
      </c>
      <c r="J2" t="s">
        <v>132</v>
      </c>
    </row>
    <row r="3" spans="1:10" x14ac:dyDescent="0.25">
      <c r="A3" t="s">
        <v>1</v>
      </c>
      <c r="C3" t="s">
        <v>4</v>
      </c>
      <c r="D3">
        <v>0</v>
      </c>
      <c r="E3">
        <v>0</v>
      </c>
      <c r="J3" t="s">
        <v>133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116</v>
      </c>
      <c r="L1" t="s">
        <v>115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116</v>
      </c>
    </row>
    <row r="2" spans="1:19" x14ac:dyDescent="0.25">
      <c r="A2" s="3" t="s">
        <v>124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Abián Pérez Hernández Min: 2  11  15  21  27  33 </v>
      </c>
      <c r="L2" s="3" t="s">
        <v>117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125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118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126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119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127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120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128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121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129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122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130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123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124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117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125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118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126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119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127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120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128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121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129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122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130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123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124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117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125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118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126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119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127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120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128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121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129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122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130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123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workbookViewId="0">
      <selection activeCell="D2" sqref="D2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5" t="s">
        <v>34</v>
      </c>
      <c r="C2" s="5" t="s">
        <v>66</v>
      </c>
      <c r="G2" s="1" t="str">
        <f>CONCATENATE(JUGADORESLOCALES[[#This Row],[NOMRBE]]," ", JUGADORESLOCALES[[#This Row],[APELLIDOS]])</f>
        <v>Abián Pérez Hernández</v>
      </c>
      <c r="H2" s="1" t="str">
        <f>CONCATENATE(JUGADORESLOCALES[[#This Row],[DORSAL]]," ",JUGADORESLOCALES[[#This Row],[NOMRBE]]," ", JUGADORESLOCALES[[#This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Row],[DORSAL]]," ",JUGADORESLOCALES[[#This Row],[NOMRBE]]," ", JUGADORESLOCALES[[#This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Row],[DORSAL]]," ",JUGADORESLOCALES[[#This Row],[NOMRBE]]," ", JUGADORESLOCALES[[#This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Row],[DORSAL]]," ",JUGADORESLOCALES[[#This Row],[NOMRBE]]," ", JUGADORESLOCALES[[#This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Row],[DORSAL]]," ",JUGADORESLOCALES[[#This Row],[NOMRBE]]," ", JUGADORESLOCALES[[#This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Row],[DORSAL]]," ",JUGADORESLOCALES[[#This Row],[NOMRBE]]," ", JUGADORESLOCALES[[#This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Row],[DORSAL]]," ",JUGADORESLOCALES[[#This Row],[NOMRBE]]," ", JUGADORESLOCALES[[#This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Row],[DORSAL]]," ",JUGADORESLOCALES[[#This Row],[NOMRBE]]," ", JUGADORESLOCALES[[#This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Row],[DORSAL]]," ",JUGADORESLOCALES[[#This Row],[NOMRBE]]," ", JUGADORESLOCALES[[#This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Row],[DORSAL]]," ",JUGADORESLOCALES[[#This Row],[NOMRBE]]," ", JUGADORESLOCALES[[#This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Row],[DORSAL]]," ",JUGADORESLOCALES[[#This Row],[NOMRBE]]," ", JUGADORESLOCALES[[#This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Row],[DORSAL]]," ",JUGADORESLOCALES[[#This Row],[NOMRBE]]," ", JUGADORESLOCALES[[#This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Row],[DORSAL]]," ",JUGADORESLOCALES[[#This Row],[NOMRBE]]," ", JUGADORESLOCALES[[#This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Row],[DORSAL]]," ",JUGADORESLOCALES[[#This Row],[NOMRBE]]," ", JUGADORESLOCALES[[#This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Row],[DORSAL]]," ",JUGADORESLOCALES[[#This Row],[NOMRBE]]," ", JUGADORESLOCALES[[#This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Row],[DORSAL]]," ",JUGADORESLOCALES[[#This Row],[NOMRBE]]," ", JUGADORESLOCALES[[#This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Row],[DORSAL]]," ",JUGADORESLOCALES[[#This Row],[NOMRBE]]," ", JUGADORESLOCALES[[#This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Row],[DORSAL]]," ",JUGADORESLOCALES[[#This Row],[NOMRBE]]," ", JUGADORESLOCALES[[#This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Row],[DORSAL]]," ",JUGADORESLOCALES[[#This Row],[NOMRBE]]," ", JUGADORESLOCALES[[#This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Row],[DORSAL]]," ",JUGADORESLOCALES[[#This Row],[NOMRBE]]," ", JUGADORESLOCALES[[#This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Row],[DORSAL]]," ",JUGADORESLOCALES[[#This Row],[NOMRBE]]," ", JUGADORESLOCALES[[#This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Row],[DORSAL]]," ",JUGADORESLOCALES[[#This Row],[NOMRBE]]," ", JUGADORESLOCALES[[#This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Row],[DORSAL]]," ",JUGADORESLOCALES[[#This Row],[NOMRBE]]," ", JUGADORESLOCALES[[#This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Row],[DORSAL]]," ",JUGADORESLOCALES[[#This Row],[NOMRBE]]," ", JUGADORESLOCALES[[#This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Row],[DORSAL]]," ",JUGADORESLOCALES[[#This Row],[NOMRBE]]," ", JUGADORESLOCALES[[#This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Row],[DORSAL]]," ",JUGADORESLOCALES[[#This Row],[NOMRBE]]," ", JUGADORESLOCALES[[#This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Row],[DORSAL]]," ",JUGADORESLOCALES[[#This Row],[NOMRBE]]," ", JUGADORESLOCALES[[#This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Row],[DORSAL]]," ",JUGADORESLOCALES[[#This Row],[NOMRBE]]," ", JUGADORESLOCALES[[#This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Row],[DORSAL]]," ",JUGADORESLOCALES[[#This Row],[NOMRBE]]," ", JUGADORESLOCALES[[#This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Row],[DORSAL]]," ",JUGADORESLOCALES[[#This Row],[NOMRBE]]," ", JUGADORESLOCALES[[#This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Row],[DORSAL]]," ",JUGADORESLOCALES[[#This Row],[NOMRBE]]," ", JUGADORESLOCALES[[#This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Row],[DORSAL]]," ",JUGADORESLOCALES[[#This Row],[NOMRBE]]," ", JUGADORESLOCALES[[#This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Row],[DORSAL]]," ",JUGADORESLOCALES[[#This Row],[NOMRBE]]," ", JUGADORESLOCALES[[#This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31" priority="6" operator="between">
      <formula>1</formula>
      <formula>11</formula>
    </cfRule>
    <cfRule type="cellIs" dxfId="30" priority="5" operator="between">
      <formula>12</formula>
      <formula>16</formula>
    </cfRule>
    <cfRule type="cellIs" dxfId="29" priority="4" operator="between">
      <formula>17</formula>
      <formula>21</formula>
    </cfRule>
  </conditionalFormatting>
  <conditionalFormatting sqref="B23:B34">
    <cfRule type="cellIs" dxfId="28" priority="1" operator="between">
      <formula>17</formula>
      <formula>21</formula>
    </cfRule>
    <cfRule type="cellIs" dxfId="27" priority="2" operator="between">
      <formula>12</formula>
      <formula>16</formula>
    </cfRule>
    <cfRule type="cellIs" dxfId="26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workbookViewId="0">
      <selection activeCell="A2" sqref="A2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11</v>
      </c>
      <c r="F1" s="1" t="s">
        <v>10</v>
      </c>
      <c r="G1" s="1" t="s">
        <v>12</v>
      </c>
      <c r="H1" s="1" t="s">
        <v>78</v>
      </c>
      <c r="I1" s="1" t="s">
        <v>77</v>
      </c>
      <c r="J1" s="1" t="s">
        <v>79</v>
      </c>
      <c r="K1" s="1" t="s">
        <v>113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34</v>
      </c>
      <c r="C2" s="5" t="s">
        <v>66</v>
      </c>
      <c r="G2" s="1" t="str">
        <f>CONCATENATE(JUGADORESLOCALES3[[#This Row],[NOMRBE]]," ", JUGADORESLOCALES3[[#This Row],[APELLIDOS]])</f>
        <v>Abián Pérez Hernández</v>
      </c>
      <c r="H2" s="1" t="str">
        <f>CONCATENATE(JUGADORESLOCALES3[[#This Row],[DORSAL]]," ",JUGADORESLOCALES3[[#This Row],[NOMRBE]]," ", JUGADORESLOCALES3[[#This Row],[APELLIDOS]])</f>
        <v>1 Abián Pérez Hernández</v>
      </c>
      <c r="I2" s="8">
        <v>608334827</v>
      </c>
      <c r="J2" s="8" t="s">
        <v>101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15</v>
      </c>
      <c r="C3" s="5" t="s">
        <v>46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Row],[DORSAL]]," ",JUGADORESLOCALES3[[#This Row],[NOMRBE]]," ", JUGADORESLOCALES3[[#This Row],[APELLIDOS]])</f>
        <v>2 Marcial Felipe García Camacho</v>
      </c>
      <c r="I3" s="8">
        <v>676455217</v>
      </c>
      <c r="J3" s="8" t="s">
        <v>81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16</v>
      </c>
      <c r="C4" s="5" t="s">
        <v>47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Row],[DORSAL]]," ",JUGADORESLOCALES3[[#This Row],[NOMRBE]]," ", JUGADORESLOCALES3[[#This Row],[APELLIDOS]])</f>
        <v>3 Rubén Martín Machín</v>
      </c>
      <c r="I4" s="8">
        <v>637144545</v>
      </c>
      <c r="J4" s="8" t="s">
        <v>82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17</v>
      </c>
      <c r="C5" s="5" t="s">
        <v>48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Row],[DORSAL]]," ",JUGADORESLOCALES3[[#This Row],[NOMRBE]]," ", JUGADORESLOCALES3[[#This Row],[APELLIDOS]])</f>
        <v>4 Ismael Cámara Dabo</v>
      </c>
      <c r="I5" s="8">
        <v>602805021</v>
      </c>
      <c r="J5" s="8" t="s">
        <v>83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18</v>
      </c>
      <c r="C6" s="5" t="s">
        <v>49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Row],[DORSAL]]," ",JUGADORESLOCALES3[[#This Row],[NOMRBE]]," ", JUGADORESLOCALES3[[#This Row],[APELLIDOS]])</f>
        <v>5 Joel Cedrés Rodríguez</v>
      </c>
      <c r="I6" s="8">
        <v>685594955</v>
      </c>
      <c r="J6" s="8" t="s">
        <v>84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19</v>
      </c>
      <c r="C7" s="5" t="s">
        <v>50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Row],[DORSAL]]," ",JUGADORESLOCALES3[[#This Row],[NOMRBE]]," ", JUGADORESLOCALES3[[#This Row],[APELLIDOS]])</f>
        <v>6 Daniel Ruano Rodríguez</v>
      </c>
      <c r="I7" s="8">
        <v>626189258</v>
      </c>
      <c r="J7" s="8" t="s">
        <v>85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20</v>
      </c>
      <c r="C8" s="5" t="s">
        <v>51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Row],[DORSAL]]," ",JUGADORESLOCALES3[[#This Row],[NOMRBE]]," ", JUGADORESLOCALES3[[#This Row],[APELLIDOS]])</f>
        <v>7 Aridany Elvira Reyes</v>
      </c>
      <c r="I8" s="8">
        <v>618611252</v>
      </c>
      <c r="J8" s="8" t="s">
        <v>86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21</v>
      </c>
      <c r="C9" s="5" t="s">
        <v>52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Row],[DORSAL]]," ",JUGADORESLOCALES3[[#This Row],[NOMRBE]]," ", JUGADORESLOCALES3[[#This Row],[APELLIDOS]])</f>
        <v>8 Sergio Mateo</v>
      </c>
      <c r="I9" s="8">
        <v>628516848</v>
      </c>
      <c r="J9" s="8" t="s">
        <v>87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22</v>
      </c>
      <c r="C10" s="5" t="s">
        <v>53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Row],[DORSAL]]," ",JUGADORESLOCALES3[[#This Row],[NOMRBE]]," ", JUGADORESLOCALES3[[#This Row],[APELLIDOS]])</f>
        <v>9 Mayron Javier Navarro Hernandez</v>
      </c>
      <c r="I10" s="8">
        <v>659956873</v>
      </c>
      <c r="J10" s="8" t="s">
        <v>88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23</v>
      </c>
      <c r="C11" s="5" t="s">
        <v>54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Row],[DORSAL]]," ",JUGADORESLOCALES3[[#This Row],[NOMRBE]]," ", JUGADORESLOCALES3[[#This Row],[APELLIDOS]])</f>
        <v>10 Carlos Toledo</v>
      </c>
      <c r="I11" s="8">
        <v>626942473</v>
      </c>
      <c r="J11" s="8" t="s">
        <v>89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24</v>
      </c>
      <c r="C12" s="5" t="s">
        <v>55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Row],[DORSAL]]," ",JUGADORESLOCALES3[[#This Row],[NOMRBE]]," ", JUGADORESLOCALES3[[#This Row],[APELLIDOS]])</f>
        <v>11 Guisevi Ie Dju</v>
      </c>
      <c r="I12" s="8">
        <v>631365961</v>
      </c>
      <c r="J12" s="8" t="s">
        <v>90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25</v>
      </c>
      <c r="C13" s="5" t="s">
        <v>56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Row],[DORSAL]]," ",JUGADORESLOCALES3[[#This Row],[NOMRBE]]," ", JUGADORESLOCALES3[[#This Row],[APELLIDOS]])</f>
        <v>12 Clemente Gomes Batista</v>
      </c>
      <c r="I13" s="8">
        <v>612451957</v>
      </c>
      <c r="J13" s="8" t="s">
        <v>91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26</v>
      </c>
      <c r="C14" s="5" t="s">
        <v>57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Row],[DORSAL]]," ",JUGADORESLOCALES3[[#This Row],[NOMRBE]]," ", JUGADORESLOCALES3[[#This Row],[APELLIDOS]])</f>
        <v>13 Kimi Løkkevik</v>
      </c>
      <c r="I14" s="8">
        <v>4917673243384</v>
      </c>
      <c r="J14" s="8" t="s">
        <v>92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27</v>
      </c>
      <c r="C15" s="5" t="s">
        <v>58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Row],[DORSAL]]," ",JUGADORESLOCALES3[[#This Row],[NOMRBE]]," ", JUGADORESLOCALES3[[#This Row],[APELLIDOS]])</f>
        <v>14 Acorán Hernández Hernández</v>
      </c>
      <c r="I15" s="8">
        <v>691624685</v>
      </c>
      <c r="J15" s="8" t="s">
        <v>93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28</v>
      </c>
      <c r="C16" s="5" t="s">
        <v>59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Row],[DORSAL]]," ",JUGADORESLOCALES3[[#This Row],[NOMRBE]]," ", JUGADORESLOCALES3[[#This Row],[APELLIDOS]])</f>
        <v>15 Jorel Oriol González Morales</v>
      </c>
      <c r="I16" s="8">
        <v>697287419</v>
      </c>
      <c r="J16" s="8" t="s">
        <v>94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29</v>
      </c>
      <c r="C17" s="5" t="s">
        <v>60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Row],[DORSAL]]," ",JUGADORESLOCALES3[[#This Row],[NOMRBE]]," ", JUGADORESLOCALES3[[#This Row],[APELLIDOS]])</f>
        <v>16 Fabián Luzardo Caraballo</v>
      </c>
      <c r="I17" s="8">
        <v>634598224</v>
      </c>
      <c r="J17" s="8" t="s">
        <v>95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13</v>
      </c>
      <c r="C18" s="5" t="s">
        <v>62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Row],[DORSAL]]," ",JUGADORESLOCALES3[[#This Row],[NOMRBE]]," ", JUGADORESLOCALES3[[#This Row],[APELLIDOS]])</f>
        <v>17 Basilio Coco Basséy Eyanga</v>
      </c>
      <c r="I18" s="8">
        <v>649180896</v>
      </c>
      <c r="J18" s="8" t="s">
        <v>97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35</v>
      </c>
      <c r="C19" s="5" t="s">
        <v>67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Row],[DORSAL]]," ",JUGADORESLOCALES3[[#This Row],[NOMRBE]]," ", JUGADORESLOCALES3[[#This Row],[APELLIDOS]])</f>
        <v>18 Esteban Gutierrez villafañe</v>
      </c>
      <c r="I19" s="8">
        <v>604281931</v>
      </c>
      <c r="J19" s="8" t="s">
        <v>102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31</v>
      </c>
      <c r="C20" s="5" t="s">
        <v>63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Row],[DORSAL]]," ",JUGADORESLOCALES3[[#This Row],[NOMRBE]]," ", JUGADORESLOCALES3[[#This Row],[APELLIDOS]])</f>
        <v>19 Rayco Pérez González</v>
      </c>
      <c r="I20" s="8">
        <v>608674220</v>
      </c>
      <c r="J20" s="8" t="s">
        <v>98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32</v>
      </c>
      <c r="C21" s="5" t="s">
        <v>64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Row],[DORSAL]]," ",JUGADORESLOCALES3[[#This Row],[NOMRBE]]," ", JUGADORESLOCALES3[[#This Row],[APELLIDOS]])</f>
        <v>20 Ian Olivero Tavío</v>
      </c>
      <c r="I21" s="8">
        <v>608465346</v>
      </c>
      <c r="J21" s="8" t="s">
        <v>99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33</v>
      </c>
      <c r="C22" s="5" t="s">
        <v>65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Row],[DORSAL]]," ",JUGADORESLOCALES3[[#This Row],[NOMRBE]]," ", JUGADORESLOCALES3[[#This Row],[APELLIDOS]])</f>
        <v>21 Adrián Padrón Calderín</v>
      </c>
      <c r="I22" s="8">
        <v>656288997</v>
      </c>
      <c r="J22" s="8" t="s">
        <v>100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14</v>
      </c>
      <c r="C23" s="5" t="s">
        <v>45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Row],[DORSAL]]," ",JUGADORESLOCALES3[[#This Row],[NOMRBE]]," ", JUGADORESLOCALES3[[#This Row],[APELLIDOS]])</f>
        <v>22 Ander Pouso Blanco</v>
      </c>
      <c r="I23" s="8">
        <v>626775329</v>
      </c>
      <c r="J23" s="8" t="s">
        <v>80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30</v>
      </c>
      <c r="C24" s="5" t="s">
        <v>61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Row],[DORSAL]]," ",JUGADORESLOCALES3[[#This Row],[NOMRBE]]," ", JUGADORESLOCALES3[[#This Row],[APELLIDOS]])</f>
        <v>23 Carlos Javier Betancor de León</v>
      </c>
      <c r="I24" s="8">
        <v>639493646</v>
      </c>
      <c r="J24" s="8" t="s">
        <v>96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36</v>
      </c>
      <c r="C25" s="5" t="s">
        <v>68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Row],[DORSAL]]," ",JUGADORESLOCALES3[[#This Row],[NOMRBE]]," ", JUGADORESLOCALES3[[#This Row],[APELLIDOS]])</f>
        <v>24 Aaron Cruz gonzalez</v>
      </c>
      <c r="I25" s="8">
        <v>630226908</v>
      </c>
      <c r="J25" s="8" t="s">
        <v>103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37</v>
      </c>
      <c r="C26" s="5" t="s">
        <v>69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Row],[DORSAL]]," ",JUGADORESLOCALES3[[#This Row],[NOMRBE]]," ", JUGADORESLOCALES3[[#This Row],[APELLIDOS]])</f>
        <v>25 Iván Carlos González Falero</v>
      </c>
      <c r="I26" s="8">
        <v>699350272</v>
      </c>
      <c r="J26" s="8" t="s">
        <v>104</v>
      </c>
      <c r="K26" s="6">
        <v>42919785</v>
      </c>
    </row>
    <row r="27" spans="1:19" ht="15.75" thickBot="1" x14ac:dyDescent="0.3">
      <c r="A27" s="1">
        <v>26</v>
      </c>
      <c r="B27" s="1" t="s">
        <v>38</v>
      </c>
      <c r="C27" s="5" t="s">
        <v>70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Row],[DORSAL]]," ",JUGADORESLOCALES3[[#This Row],[NOMRBE]]," ", JUGADORESLOCALES3[[#This Row],[APELLIDOS]])</f>
        <v>26 Álvaro Machín Cejas</v>
      </c>
      <c r="I27" s="8">
        <v>683359678</v>
      </c>
      <c r="J27" s="8" t="s">
        <v>105</v>
      </c>
      <c r="K27" s="6">
        <v>78818674</v>
      </c>
    </row>
    <row r="28" spans="1:19" ht="15.75" thickBot="1" x14ac:dyDescent="0.3">
      <c r="A28" s="1">
        <v>27</v>
      </c>
      <c r="B28" s="1" t="s">
        <v>39</v>
      </c>
      <c r="C28" s="5" t="s">
        <v>71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Row],[DORSAL]]," ",JUGADORESLOCALES3[[#This Row],[NOMRBE]]," ", JUGADORESLOCALES3[[#This Row],[APELLIDOS]])</f>
        <v>27 Doramas Medina Armas</v>
      </c>
      <c r="I28" s="8">
        <v>639968324</v>
      </c>
      <c r="J28" s="8" t="s">
        <v>106</v>
      </c>
      <c r="K28" s="6">
        <v>78816118</v>
      </c>
    </row>
    <row r="29" spans="1:19" ht="15.75" thickBot="1" x14ac:dyDescent="0.3">
      <c r="A29" s="1">
        <v>28</v>
      </c>
      <c r="B29" s="1" t="s">
        <v>40</v>
      </c>
      <c r="C29" s="5" t="s">
        <v>72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Row],[DORSAL]]," ",JUGADORESLOCALES3[[#This Row],[NOMRBE]]," ", JUGADORESLOCALES3[[#This Row],[APELLIDOS]])</f>
        <v>28 Acoran Rodríguez Rodríguez</v>
      </c>
      <c r="I29" s="8">
        <v>691582978</v>
      </c>
      <c r="J29" s="8" t="s">
        <v>107</v>
      </c>
      <c r="K29" s="6">
        <v>78764311</v>
      </c>
    </row>
    <row r="30" spans="1:19" ht="15.75" thickBot="1" x14ac:dyDescent="0.3">
      <c r="A30" s="1">
        <v>29</v>
      </c>
      <c r="B30" s="1" t="s">
        <v>41</v>
      </c>
      <c r="C30" s="5" t="s">
        <v>73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Row],[DORSAL]]," ",JUGADORESLOCALES3[[#This Row],[NOMRBE]]," ", JUGADORESLOCALES3[[#This Row],[APELLIDOS]])</f>
        <v>29 El Aarbi El Moumni</v>
      </c>
      <c r="I30" s="8">
        <v>610032578</v>
      </c>
      <c r="J30" s="8" t="s">
        <v>108</v>
      </c>
      <c r="K30" s="6">
        <v>1003757</v>
      </c>
    </row>
    <row r="31" spans="1:19" ht="15.75" thickBot="1" x14ac:dyDescent="0.3">
      <c r="A31" s="1">
        <v>30</v>
      </c>
      <c r="B31" s="1" t="s">
        <v>42</v>
      </c>
      <c r="C31" s="5" t="s">
        <v>74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Row],[DORSAL]]," ",JUGADORESLOCALES3[[#This Row],[NOMRBE]]," ", JUGADORESLOCALES3[[#This Row],[APELLIDOS]])</f>
        <v>30 Cristian Gonzalez Romero</v>
      </c>
      <c r="I31" s="8">
        <v>618053214</v>
      </c>
      <c r="J31" s="8" t="s">
        <v>109</v>
      </c>
      <c r="K31" s="6">
        <v>78766283</v>
      </c>
    </row>
    <row r="32" spans="1:19" ht="15.75" thickBot="1" x14ac:dyDescent="0.3">
      <c r="A32" s="1">
        <v>31</v>
      </c>
      <c r="B32" s="1" t="s">
        <v>43</v>
      </c>
      <c r="C32" s="5" t="s">
        <v>71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Row],[DORSAL]]," ",JUGADORESLOCALES3[[#This Row],[NOMRBE]]," ", JUGADORESLOCALES3[[#This Row],[APELLIDOS]])</f>
        <v>31 Guize Medina Armas</v>
      </c>
      <c r="I32" s="8">
        <v>683513449</v>
      </c>
      <c r="J32" s="8" t="s">
        <v>110</v>
      </c>
      <c r="K32" s="6">
        <v>78816117</v>
      </c>
    </row>
    <row r="33" spans="1:11" ht="27" thickBot="1" x14ac:dyDescent="0.3">
      <c r="A33" s="1">
        <v>32</v>
      </c>
      <c r="B33" s="1" t="s">
        <v>44</v>
      </c>
      <c r="C33" s="5" t="s">
        <v>75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Row],[DORSAL]]," ",JUGADORESLOCALES3[[#This Row],[NOMRBE]]," ", JUGADORESLOCALES3[[#This Row],[APELLIDOS]])</f>
        <v xml:space="preserve">32 Benito Padrón rijo
</v>
      </c>
      <c r="I33" s="8">
        <v>652463549</v>
      </c>
      <c r="J33" s="8" t="s">
        <v>111</v>
      </c>
      <c r="K33" s="6">
        <v>42901299</v>
      </c>
    </row>
    <row r="34" spans="1:11" ht="15.75" thickBot="1" x14ac:dyDescent="0.3">
      <c r="A34" s="1">
        <v>33</v>
      </c>
      <c r="B34" s="1" t="s">
        <v>33</v>
      </c>
      <c r="C34" s="5" t="s">
        <v>76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Row],[DORSAL]]," ",JUGADORESLOCALES3[[#This Row],[NOMRBE]]," ", JUGADORESLOCALES3[[#This Row],[APELLIDOS]])</f>
        <v>33 Adrián Herrera Hernández</v>
      </c>
      <c r="I34" s="8">
        <v>618732233</v>
      </c>
      <c r="J34" s="8" t="s">
        <v>112</v>
      </c>
      <c r="K34" s="6">
        <v>78587204</v>
      </c>
    </row>
  </sheetData>
  <conditionalFormatting sqref="A1:A1048576">
    <cfRule type="cellIs" dxfId="15" priority="4" operator="between">
      <formula>17</formula>
      <formula>21</formula>
    </cfRule>
    <cfRule type="cellIs" dxfId="14" priority="5" operator="between">
      <formula>12</formula>
      <formula>16</formula>
    </cfRule>
    <cfRule type="cellIs" dxfId="13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29" sqref="C29"/>
    </sheetView>
  </sheetViews>
  <sheetFormatPr baseColWidth="10" defaultRowHeight="15" x14ac:dyDescent="0.25"/>
  <sheetData>
    <row r="1" spans="1:1" x14ac:dyDescent="0.25">
      <c r="A1">
        <f>PARAMETROS!D2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2021-01-16T05:56:35Z</dcterms:modified>
</cp:coreProperties>
</file>