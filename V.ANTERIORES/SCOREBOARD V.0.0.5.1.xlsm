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ayoze\Videos\ORIENTACION MARTIMA - STREAMING PRUEBA\SISTEMAS\DESARROLLOS APPS PROPIOS\SCOREBOARD\"/>
    </mc:Choice>
  </mc:AlternateContent>
  <bookViews>
    <workbookView xWindow="0" yWindow="0" windowWidth="28800" windowHeight="11715" activeTab="1"/>
  </bookViews>
  <sheets>
    <sheet name="MENU" sheetId="1" r:id="rId1"/>
    <sheet name="PARAMETROS" sheetId="2" r:id="rId2"/>
    <sheet name="ELOCAL" sheetId="5" r:id="rId3"/>
    <sheet name="M.LOCAL" sheetId="3" r:id="rId4"/>
    <sheet name="M.VISITANTE" sheetId="4" r:id="rId5"/>
  </sheets>
  <functionGroups builtInGroupCount="18"/>
  <calcPr calcId="162913"/>
  <fileRecoveryPr repairLoad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3" i="5" l="1"/>
  <c r="G4" i="5"/>
  <c r="G5" i="5"/>
  <c r="G6" i="5"/>
  <c r="G7" i="5"/>
  <c r="G8" i="5"/>
  <c r="G9" i="5"/>
  <c r="G10" i="5"/>
  <c r="G11" i="5"/>
  <c r="G12" i="5"/>
  <c r="G13" i="5"/>
  <c r="G14" i="5"/>
  <c r="G15" i="5"/>
  <c r="G16" i="5"/>
  <c r="G17" i="5"/>
  <c r="G18" i="5"/>
  <c r="G19" i="5"/>
  <c r="G20" i="5"/>
  <c r="G21" i="5"/>
  <c r="G22" i="5"/>
  <c r="G23" i="5"/>
  <c r="G24" i="5"/>
  <c r="G25" i="5"/>
  <c r="G2" i="5"/>
  <c r="A1" i="3" l="1"/>
</calcChain>
</file>

<file path=xl/sharedStrings.xml><?xml version="1.0" encoding="utf-8"?>
<sst xmlns="http://schemas.openxmlformats.org/spreadsheetml/2006/main" count="188" uniqueCount="41">
  <si>
    <t>NOMBRE EQUIPO LOCAL</t>
  </si>
  <si>
    <t>NOMBRE EQUIPO VISITANTE</t>
  </si>
  <si>
    <t>RESULTADO</t>
  </si>
  <si>
    <t>O.MARITIMA</t>
  </si>
  <si>
    <t>UNION VIERA</t>
  </si>
  <si>
    <t>ONLINE</t>
  </si>
  <si>
    <t>DORSAL</t>
  </si>
  <si>
    <t>NOMRBE</t>
  </si>
  <si>
    <t>APELLIDOS</t>
  </si>
  <si>
    <t>DEMARCACION</t>
  </si>
  <si>
    <t>AA</t>
  </si>
  <si>
    <t>BB</t>
  </si>
  <si>
    <t>CC</t>
  </si>
  <si>
    <t>PORTERO</t>
  </si>
  <si>
    <t>DEFENSA</t>
  </si>
  <si>
    <t>CENTRAL</t>
  </si>
  <si>
    <t>OTROS</t>
  </si>
  <si>
    <t>foto</t>
  </si>
  <si>
    <t>observaciones</t>
  </si>
  <si>
    <t>concatenado</t>
  </si>
  <si>
    <t>ayoze</t>
  </si>
  <si>
    <t>benitez rodriguez</t>
  </si>
  <si>
    <t>pedro</t>
  </si>
  <si>
    <t>felipe</t>
  </si>
  <si>
    <t>ayoze benitez rodriguez</t>
  </si>
  <si>
    <t>pedro BB</t>
  </si>
  <si>
    <t>felipe CC</t>
  </si>
  <si>
    <t>ayoze AA</t>
  </si>
  <si>
    <t>ayoze BB</t>
  </si>
  <si>
    <t>ayoze CC</t>
  </si>
  <si>
    <t>ENTRENADOR</t>
  </si>
  <si>
    <t>2º ENTRENADOR</t>
  </si>
  <si>
    <t>STAFF 1</t>
  </si>
  <si>
    <t>STAFF 2</t>
  </si>
  <si>
    <t>Coco</t>
  </si>
  <si>
    <t xml:space="preserve">Basilio </t>
  </si>
  <si>
    <t>Carlos</t>
  </si>
  <si>
    <t>cabrera</t>
  </si>
  <si>
    <t>marcial</t>
  </si>
  <si>
    <t>Perez</t>
  </si>
  <si>
    <t xml:space="preserve">benitez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</si>
</sst>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Alignment="1">
      <alignment horizontal="center" vertical="center"/>
    </xf>
  </cellXfs>
  <cellStyles count="1">
    <cellStyle name="Normal" xfId="0" builtinId="0"/>
  </cellStyles>
  <dxfs count="17"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619125</xdr:colOff>
          <xdr:row>3</xdr:row>
          <xdr:rowOff>161925</xdr:rowOff>
        </xdr:from>
        <xdr:to>
          <xdr:col>13</xdr:col>
          <xdr:colOff>561975</xdr:colOff>
          <xdr:row>20</xdr:row>
          <xdr:rowOff>95250</xdr:rowOff>
        </xdr:to>
        <xdr:sp macro="" textlink="">
          <xdr:nvSpPr>
            <xdr:cNvPr id="1025" name="Image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JUGADORESLOCALES" displayName="JUGADORESLOCALES" ref="A1:G25" totalsRowShown="0" headerRowDxfId="16" dataDxfId="15">
  <autoFilter ref="A1:G25"/>
  <tableColumns count="7">
    <tableColumn id="1" name="DORSAL" dataDxfId="14"/>
    <tableColumn id="2" name="NOMRBE" dataDxfId="13"/>
    <tableColumn id="3" name="APELLIDOS" dataDxfId="12"/>
    <tableColumn id="4" name="DEMARCACION" dataDxfId="11"/>
    <tableColumn id="5" name="observaciones" dataDxfId="10"/>
    <tableColumn id="6" name="foto" dataDxfId="9"/>
    <tableColumn id="7" name="concatenado" dataDxfId="8">
      <calculatedColumnFormula>CONCATENATE(JUGADORESLOCALES[[#This Row],[NOMRBE]]," ", JUGADORESLOCALES[[#This Row],[APELLIDOS]])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3" name="JUGADORESVISITANTES" displayName="JUGADORESVISITANTES" ref="M1:S25" totalsRowShown="0" headerRowDxfId="7" dataDxfId="6">
  <autoFilter ref="M1:S25"/>
  <tableColumns count="7">
    <tableColumn id="1" name="DORSAL" dataDxfId="5"/>
    <tableColumn id="2" name="NOMRBE" dataDxfId="4"/>
    <tableColumn id="3" name="APELLIDOS" dataDxfId="3"/>
    <tableColumn id="4" name="DEMARCACION" dataDxfId="2"/>
    <tableColumn id="5" name="observaciones" dataDxfId="1"/>
    <tableColumn id="6" name="foto" dataDxfId="0"/>
    <tableColumn id="7" name="concatenad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"/>
  <sheetViews>
    <sheetView workbookViewId="0">
      <selection activeCell="D8" sqref="D8"/>
    </sheetView>
  </sheetViews>
  <sheetFormatPr baseColWidth="10" defaultRowHeight="15" x14ac:dyDescent="0.25"/>
  <sheetData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" r:id="rId3" name="Image1">
          <controlPr defaultSize="0" autoLine="0" r:id="rId4">
            <anchor moveWithCells="1">
              <from>
                <xdr:col>5</xdr:col>
                <xdr:colOff>619125</xdr:colOff>
                <xdr:row>3</xdr:row>
                <xdr:rowOff>161925</xdr:rowOff>
              </from>
              <to>
                <xdr:col>13</xdr:col>
                <xdr:colOff>561975</xdr:colOff>
                <xdr:row>20</xdr:row>
                <xdr:rowOff>95250</xdr:rowOff>
              </to>
            </anchor>
          </controlPr>
        </control>
      </mc:Choice>
      <mc:Fallback>
        <control shapeId="1025" r:id="rId3" name="Image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E3"/>
  <sheetViews>
    <sheetView tabSelected="1" workbookViewId="0">
      <selection activeCell="E3" sqref="E3"/>
    </sheetView>
  </sheetViews>
  <sheetFormatPr baseColWidth="10" defaultRowHeight="15" x14ac:dyDescent="0.25"/>
  <cols>
    <col min="2" max="2" width="22.7109375" customWidth="1"/>
    <col min="3" max="3" width="33.5703125" customWidth="1"/>
  </cols>
  <sheetData>
    <row r="1" spans="1:5" x14ac:dyDescent="0.25">
      <c r="D1" t="s">
        <v>2</v>
      </c>
      <c r="E1" t="s">
        <v>5</v>
      </c>
    </row>
    <row r="2" spans="1:5" x14ac:dyDescent="0.25">
      <c r="A2" t="s">
        <v>0</v>
      </c>
      <c r="C2" t="s">
        <v>3</v>
      </c>
      <c r="D2">
        <v>5</v>
      </c>
      <c r="E2">
        <v>5</v>
      </c>
    </row>
    <row r="3" spans="1:5" x14ac:dyDescent="0.25">
      <c r="A3" t="s">
        <v>1</v>
      </c>
      <c r="C3" t="s">
        <v>4</v>
      </c>
      <c r="D3">
        <v>4</v>
      </c>
      <c r="E3">
        <v>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S25"/>
  <sheetViews>
    <sheetView workbookViewId="0">
      <selection activeCell="E3" sqref="E3"/>
    </sheetView>
  </sheetViews>
  <sheetFormatPr baseColWidth="10" defaultRowHeight="15" x14ac:dyDescent="0.25"/>
  <cols>
    <col min="1" max="2" width="11.42578125" style="1"/>
    <col min="3" max="3" width="12.5703125" style="1" customWidth="1"/>
    <col min="4" max="4" width="16.7109375" style="1" customWidth="1"/>
    <col min="5" max="5" width="15.85546875" style="1" customWidth="1"/>
    <col min="6" max="6" width="6.85546875" style="1" customWidth="1"/>
    <col min="7" max="7" width="22.42578125" bestFit="1" customWidth="1"/>
    <col min="8" max="8" width="7.85546875" customWidth="1"/>
    <col min="9" max="9" width="7.5703125" customWidth="1"/>
    <col min="10" max="10" width="7" customWidth="1"/>
    <col min="11" max="11" width="6.5703125" customWidth="1"/>
    <col min="12" max="12" width="7.42578125" customWidth="1"/>
    <col min="15" max="15" width="16.7109375" bestFit="1" customWidth="1"/>
    <col min="16" max="16" width="16.7109375" customWidth="1"/>
    <col min="17" max="17" width="15.85546875" customWidth="1"/>
    <col min="19" max="19" width="22.42578125" bestFit="1" customWidth="1"/>
  </cols>
  <sheetData>
    <row r="1" spans="1:19" x14ac:dyDescent="0.25">
      <c r="A1" s="1" t="s">
        <v>6</v>
      </c>
      <c r="B1" s="1" t="s">
        <v>7</v>
      </c>
      <c r="C1" s="1" t="s">
        <v>8</v>
      </c>
      <c r="D1" s="1" t="s">
        <v>9</v>
      </c>
      <c r="E1" s="1" t="s">
        <v>18</v>
      </c>
      <c r="F1" s="1" t="s">
        <v>17</v>
      </c>
      <c r="G1" s="1" t="s">
        <v>19</v>
      </c>
      <c r="L1" s="1"/>
      <c r="M1" s="1" t="s">
        <v>6</v>
      </c>
      <c r="N1" s="1" t="s">
        <v>7</v>
      </c>
      <c r="O1" s="1" t="s">
        <v>8</v>
      </c>
      <c r="P1" s="1" t="s">
        <v>9</v>
      </c>
      <c r="Q1" s="1" t="s">
        <v>18</v>
      </c>
      <c r="R1" s="1" t="s">
        <v>17</v>
      </c>
      <c r="S1" t="s">
        <v>19</v>
      </c>
    </row>
    <row r="2" spans="1:19" x14ac:dyDescent="0.25">
      <c r="A2" s="1">
        <v>1</v>
      </c>
      <c r="B2" s="1" t="s">
        <v>20</v>
      </c>
      <c r="C2" s="1" t="s">
        <v>40</v>
      </c>
      <c r="D2" s="1" t="s">
        <v>13</v>
      </c>
      <c r="G2" s="1" t="str">
        <f>CONCATENATE(JUGADORESLOCALES[[#This Row],[NOMRBE]]," ", JUGADORESLOCALES[[#This Row],[APELLIDOS]])</f>
        <v xml:space="preserve">ayoze benitez </v>
      </c>
      <c r="L2" s="1"/>
      <c r="M2" s="1">
        <v>1</v>
      </c>
      <c r="N2" s="1" t="s">
        <v>20</v>
      </c>
      <c r="O2" s="1" t="s">
        <v>21</v>
      </c>
      <c r="P2" s="1" t="s">
        <v>13</v>
      </c>
      <c r="Q2" s="1"/>
      <c r="R2" s="1"/>
      <c r="S2" t="s">
        <v>24</v>
      </c>
    </row>
    <row r="3" spans="1:19" x14ac:dyDescent="0.25">
      <c r="A3" s="1">
        <v>2</v>
      </c>
      <c r="B3" s="1" t="s">
        <v>22</v>
      </c>
      <c r="C3" s="1" t="s">
        <v>11</v>
      </c>
      <c r="D3" s="1" t="s">
        <v>14</v>
      </c>
      <c r="G3" s="1" t="str">
        <f>CONCATENATE(JUGADORESLOCALES[[#This Row],[NOMRBE]]," ", JUGADORESLOCALES[[#This Row],[APELLIDOS]])</f>
        <v>pedro BB</v>
      </c>
      <c r="L3" s="1"/>
      <c r="M3" s="1">
        <v>2</v>
      </c>
      <c r="N3" s="1" t="s">
        <v>22</v>
      </c>
      <c r="O3" s="1" t="s">
        <v>11</v>
      </c>
      <c r="P3" s="1" t="s">
        <v>14</v>
      </c>
      <c r="Q3" s="1"/>
      <c r="R3" s="1"/>
      <c r="S3" t="s">
        <v>25</v>
      </c>
    </row>
    <row r="4" spans="1:19" x14ac:dyDescent="0.25">
      <c r="A4" s="1">
        <v>3</v>
      </c>
      <c r="B4" s="1" t="s">
        <v>23</v>
      </c>
      <c r="C4" s="1" t="s">
        <v>12</v>
      </c>
      <c r="D4" s="1" t="s">
        <v>14</v>
      </c>
      <c r="G4" s="1" t="str">
        <f>CONCATENATE(JUGADORESLOCALES[[#This Row],[NOMRBE]]," ", JUGADORESLOCALES[[#This Row],[APELLIDOS]])</f>
        <v>felipe CC</v>
      </c>
      <c r="L4" s="1"/>
      <c r="M4" s="1">
        <v>3</v>
      </c>
      <c r="N4" s="1" t="s">
        <v>23</v>
      </c>
      <c r="O4" s="1" t="s">
        <v>12</v>
      </c>
      <c r="P4" s="1" t="s">
        <v>14</v>
      </c>
      <c r="Q4" s="1"/>
      <c r="R4" s="1"/>
      <c r="S4" t="s">
        <v>26</v>
      </c>
    </row>
    <row r="5" spans="1:19" x14ac:dyDescent="0.25">
      <c r="A5" s="1">
        <v>4</v>
      </c>
      <c r="B5" s="1" t="s">
        <v>20</v>
      </c>
      <c r="C5" s="1" t="s">
        <v>10</v>
      </c>
      <c r="D5" s="1" t="s">
        <v>14</v>
      </c>
      <c r="G5" s="1" t="str">
        <f>CONCATENATE(JUGADORESLOCALES[[#This Row],[NOMRBE]]," ", JUGADORESLOCALES[[#This Row],[APELLIDOS]])</f>
        <v>ayoze AA</v>
      </c>
      <c r="L5" s="1"/>
      <c r="M5" s="1">
        <v>4</v>
      </c>
      <c r="N5" s="1" t="s">
        <v>20</v>
      </c>
      <c r="O5" s="1" t="s">
        <v>10</v>
      </c>
      <c r="P5" s="1" t="s">
        <v>14</v>
      </c>
      <c r="Q5" s="1"/>
      <c r="R5" s="1"/>
      <c r="S5" t="s">
        <v>27</v>
      </c>
    </row>
    <row r="6" spans="1:19" x14ac:dyDescent="0.25">
      <c r="A6" s="1">
        <v>5</v>
      </c>
      <c r="B6" s="1" t="s">
        <v>20</v>
      </c>
      <c r="C6" s="1" t="s">
        <v>11</v>
      </c>
      <c r="D6" s="1" t="s">
        <v>14</v>
      </c>
      <c r="G6" s="1" t="str">
        <f>CONCATENATE(JUGADORESLOCALES[[#This Row],[NOMRBE]]," ", JUGADORESLOCALES[[#This Row],[APELLIDOS]])</f>
        <v>ayoze BB</v>
      </c>
      <c r="L6" s="1"/>
      <c r="M6" s="1">
        <v>5</v>
      </c>
      <c r="N6" s="1" t="s">
        <v>20</v>
      </c>
      <c r="O6" s="1" t="s">
        <v>11</v>
      </c>
      <c r="P6" s="1" t="s">
        <v>14</v>
      </c>
      <c r="Q6" s="1"/>
      <c r="R6" s="1"/>
      <c r="S6" t="s">
        <v>28</v>
      </c>
    </row>
    <row r="7" spans="1:19" x14ac:dyDescent="0.25">
      <c r="A7" s="1">
        <v>6</v>
      </c>
      <c r="B7" s="1" t="s">
        <v>20</v>
      </c>
      <c r="C7" s="1" t="s">
        <v>12</v>
      </c>
      <c r="D7" s="1" t="s">
        <v>15</v>
      </c>
      <c r="G7" s="1" t="str">
        <f>CONCATENATE(JUGADORESLOCALES[[#This Row],[NOMRBE]]," ", JUGADORESLOCALES[[#This Row],[APELLIDOS]])</f>
        <v>ayoze CC</v>
      </c>
      <c r="L7" s="1"/>
      <c r="M7" s="1">
        <v>6</v>
      </c>
      <c r="N7" s="1" t="s">
        <v>20</v>
      </c>
      <c r="O7" s="1" t="s">
        <v>12</v>
      </c>
      <c r="P7" s="1" t="s">
        <v>15</v>
      </c>
      <c r="Q7" s="1"/>
      <c r="R7" s="1"/>
      <c r="S7" t="s">
        <v>29</v>
      </c>
    </row>
    <row r="8" spans="1:19" x14ac:dyDescent="0.25">
      <c r="A8" s="1">
        <v>7</v>
      </c>
      <c r="B8" s="1" t="s">
        <v>20</v>
      </c>
      <c r="C8" s="1" t="s">
        <v>10</v>
      </c>
      <c r="D8" s="1" t="s">
        <v>15</v>
      </c>
      <c r="G8" s="1" t="str">
        <f>CONCATENATE(JUGADORESLOCALES[[#This Row],[NOMRBE]]," ", JUGADORESLOCALES[[#This Row],[APELLIDOS]])</f>
        <v>ayoze AA</v>
      </c>
      <c r="L8" s="1"/>
      <c r="M8" s="1">
        <v>7</v>
      </c>
      <c r="N8" s="1" t="s">
        <v>20</v>
      </c>
      <c r="O8" s="1" t="s">
        <v>10</v>
      </c>
      <c r="P8" s="1" t="s">
        <v>15</v>
      </c>
      <c r="Q8" s="1"/>
      <c r="R8" s="1"/>
      <c r="S8" t="s">
        <v>27</v>
      </c>
    </row>
    <row r="9" spans="1:19" x14ac:dyDescent="0.25">
      <c r="A9" s="1">
        <v>8</v>
      </c>
      <c r="B9" s="1" t="s">
        <v>20</v>
      </c>
      <c r="C9" s="1" t="s">
        <v>11</v>
      </c>
      <c r="D9" s="1" t="s">
        <v>16</v>
      </c>
      <c r="G9" s="1" t="str">
        <f>CONCATENATE(JUGADORESLOCALES[[#This Row],[NOMRBE]]," ", JUGADORESLOCALES[[#This Row],[APELLIDOS]])</f>
        <v>ayoze BB</v>
      </c>
      <c r="L9" s="1"/>
      <c r="M9" s="1">
        <v>8</v>
      </c>
      <c r="N9" s="1" t="s">
        <v>20</v>
      </c>
      <c r="O9" s="1" t="s">
        <v>11</v>
      </c>
      <c r="P9" s="1" t="s">
        <v>16</v>
      </c>
      <c r="Q9" s="1"/>
      <c r="R9" s="1"/>
      <c r="S9" t="s">
        <v>28</v>
      </c>
    </row>
    <row r="10" spans="1:19" x14ac:dyDescent="0.25">
      <c r="A10" s="1">
        <v>9</v>
      </c>
      <c r="B10" s="1" t="s">
        <v>20</v>
      </c>
      <c r="C10" s="1" t="s">
        <v>12</v>
      </c>
      <c r="D10" s="1" t="s">
        <v>16</v>
      </c>
      <c r="G10" s="1" t="str">
        <f>CONCATENATE(JUGADORESLOCALES[[#This Row],[NOMRBE]]," ", JUGADORESLOCALES[[#This Row],[APELLIDOS]])</f>
        <v>ayoze CC</v>
      </c>
      <c r="L10" s="1"/>
      <c r="M10" s="1">
        <v>9</v>
      </c>
      <c r="N10" s="1" t="s">
        <v>20</v>
      </c>
      <c r="O10" s="1" t="s">
        <v>12</v>
      </c>
      <c r="P10" s="1" t="s">
        <v>16</v>
      </c>
      <c r="Q10" s="1"/>
      <c r="R10" s="1"/>
      <c r="S10" t="s">
        <v>29</v>
      </c>
    </row>
    <row r="11" spans="1:19" x14ac:dyDescent="0.25">
      <c r="A11" s="1">
        <v>10</v>
      </c>
      <c r="B11" s="1" t="s">
        <v>20</v>
      </c>
      <c r="C11" s="1" t="s">
        <v>10</v>
      </c>
      <c r="D11" s="1" t="s">
        <v>16</v>
      </c>
      <c r="G11" s="1" t="str">
        <f>CONCATENATE(JUGADORESLOCALES[[#This Row],[NOMRBE]]," ", JUGADORESLOCALES[[#This Row],[APELLIDOS]])</f>
        <v>ayoze AA</v>
      </c>
      <c r="L11" s="1"/>
      <c r="M11" s="1">
        <v>10</v>
      </c>
      <c r="N11" s="1" t="s">
        <v>20</v>
      </c>
      <c r="O11" s="1" t="s">
        <v>10</v>
      </c>
      <c r="P11" s="1" t="s">
        <v>16</v>
      </c>
      <c r="Q11" s="1"/>
      <c r="R11" s="1"/>
      <c r="S11" t="s">
        <v>27</v>
      </c>
    </row>
    <row r="12" spans="1:19" x14ac:dyDescent="0.25">
      <c r="A12" s="1">
        <v>11</v>
      </c>
      <c r="B12" s="1" t="s">
        <v>20</v>
      </c>
      <c r="C12" s="1" t="s">
        <v>11</v>
      </c>
      <c r="D12" s="1" t="s">
        <v>16</v>
      </c>
      <c r="G12" s="1" t="str">
        <f>CONCATENATE(JUGADORESLOCALES[[#This Row],[NOMRBE]]," ", JUGADORESLOCALES[[#This Row],[APELLIDOS]])</f>
        <v>ayoze BB</v>
      </c>
      <c r="L12" s="1"/>
      <c r="M12" s="1">
        <v>11</v>
      </c>
      <c r="N12" s="1" t="s">
        <v>20</v>
      </c>
      <c r="O12" s="1" t="s">
        <v>11</v>
      </c>
      <c r="P12" s="1" t="s">
        <v>16</v>
      </c>
      <c r="Q12" s="1"/>
      <c r="R12" s="1"/>
      <c r="S12" t="s">
        <v>28</v>
      </c>
    </row>
    <row r="13" spans="1:19" x14ac:dyDescent="0.25">
      <c r="A13" s="1">
        <v>12</v>
      </c>
      <c r="B13" s="1" t="s">
        <v>20</v>
      </c>
      <c r="C13" s="1" t="s">
        <v>12</v>
      </c>
      <c r="D13" s="1" t="s">
        <v>16</v>
      </c>
      <c r="G13" s="1" t="str">
        <f>CONCATENATE(JUGADORESLOCALES[[#This Row],[NOMRBE]]," ", JUGADORESLOCALES[[#This Row],[APELLIDOS]])</f>
        <v>ayoze CC</v>
      </c>
      <c r="L13" s="1"/>
      <c r="M13" s="1">
        <v>12</v>
      </c>
      <c r="N13" s="1" t="s">
        <v>20</v>
      </c>
      <c r="O13" s="1" t="s">
        <v>12</v>
      </c>
      <c r="P13" s="1" t="s">
        <v>16</v>
      </c>
      <c r="Q13" s="1"/>
      <c r="R13" s="1"/>
      <c r="S13" t="s">
        <v>29</v>
      </c>
    </row>
    <row r="14" spans="1:19" x14ac:dyDescent="0.25">
      <c r="A14" s="1">
        <v>13</v>
      </c>
      <c r="B14" s="1" t="s">
        <v>20</v>
      </c>
      <c r="C14" s="1" t="s">
        <v>10</v>
      </c>
      <c r="D14" s="1" t="s">
        <v>16</v>
      </c>
      <c r="G14" s="1" t="str">
        <f>CONCATENATE(JUGADORESLOCALES[[#This Row],[NOMRBE]]," ", JUGADORESLOCALES[[#This Row],[APELLIDOS]])</f>
        <v>ayoze AA</v>
      </c>
      <c r="L14" s="1"/>
      <c r="M14" s="1">
        <v>13</v>
      </c>
      <c r="N14" s="1" t="s">
        <v>20</v>
      </c>
      <c r="O14" s="1" t="s">
        <v>10</v>
      </c>
      <c r="P14" s="1" t="s">
        <v>16</v>
      </c>
      <c r="Q14" s="1"/>
      <c r="R14" s="1"/>
      <c r="S14" t="s">
        <v>27</v>
      </c>
    </row>
    <row r="15" spans="1:19" x14ac:dyDescent="0.25">
      <c r="A15" s="1">
        <v>14</v>
      </c>
      <c r="B15" s="1" t="s">
        <v>20</v>
      </c>
      <c r="C15" s="1" t="s">
        <v>11</v>
      </c>
      <c r="D15" s="1" t="s">
        <v>16</v>
      </c>
      <c r="G15" s="1" t="str">
        <f>CONCATENATE(JUGADORESLOCALES[[#This Row],[NOMRBE]]," ", JUGADORESLOCALES[[#This Row],[APELLIDOS]])</f>
        <v>ayoze BB</v>
      </c>
      <c r="L15" s="1"/>
      <c r="M15" s="1">
        <v>14</v>
      </c>
      <c r="N15" s="1" t="s">
        <v>20</v>
      </c>
      <c r="O15" s="1" t="s">
        <v>11</v>
      </c>
      <c r="P15" s="1" t="s">
        <v>16</v>
      </c>
      <c r="Q15" s="1"/>
      <c r="R15" s="1"/>
      <c r="S15" t="s">
        <v>28</v>
      </c>
    </row>
    <row r="16" spans="1:19" x14ac:dyDescent="0.25">
      <c r="A16" s="1">
        <v>15</v>
      </c>
      <c r="B16" s="1" t="s">
        <v>20</v>
      </c>
      <c r="C16" s="1" t="s">
        <v>12</v>
      </c>
      <c r="D16" s="1" t="s">
        <v>16</v>
      </c>
      <c r="G16" s="1" t="str">
        <f>CONCATENATE(JUGADORESLOCALES[[#This Row],[NOMRBE]]," ", JUGADORESLOCALES[[#This Row],[APELLIDOS]])</f>
        <v>ayoze CC</v>
      </c>
      <c r="L16" s="1"/>
      <c r="M16" s="1">
        <v>15</v>
      </c>
      <c r="N16" s="1" t="s">
        <v>20</v>
      </c>
      <c r="O16" s="1" t="s">
        <v>12</v>
      </c>
      <c r="P16" s="1" t="s">
        <v>16</v>
      </c>
      <c r="Q16" s="1"/>
      <c r="R16" s="1"/>
      <c r="S16" t="s">
        <v>29</v>
      </c>
    </row>
    <row r="17" spans="1:19" x14ac:dyDescent="0.25">
      <c r="A17" s="1">
        <v>16</v>
      </c>
      <c r="B17" s="1" t="s">
        <v>20</v>
      </c>
      <c r="C17" s="1" t="s">
        <v>10</v>
      </c>
      <c r="D17" s="1" t="s">
        <v>16</v>
      </c>
      <c r="G17" s="1" t="str">
        <f>CONCATENATE(JUGADORESLOCALES[[#This Row],[NOMRBE]]," ", JUGADORESLOCALES[[#This Row],[APELLIDOS]])</f>
        <v>ayoze AA</v>
      </c>
      <c r="L17" s="1"/>
      <c r="M17" s="1">
        <v>16</v>
      </c>
      <c r="N17" s="1" t="s">
        <v>20</v>
      </c>
      <c r="O17" s="1" t="s">
        <v>10</v>
      </c>
      <c r="P17" s="1" t="s">
        <v>16</v>
      </c>
      <c r="Q17" s="1"/>
      <c r="R17" s="1"/>
      <c r="S17" t="s">
        <v>27</v>
      </c>
    </row>
    <row r="18" spans="1:19" x14ac:dyDescent="0.25">
      <c r="A18" s="1">
        <v>17</v>
      </c>
      <c r="B18" s="1" t="s">
        <v>35</v>
      </c>
      <c r="C18" s="1" t="s">
        <v>34</v>
      </c>
      <c r="D18" s="1" t="s">
        <v>30</v>
      </c>
      <c r="G18" s="1" t="str">
        <f>CONCATENATE(JUGADORESLOCALES[[#This Row],[NOMRBE]]," ", JUGADORESLOCALES[[#This Row],[APELLIDOS]])</f>
        <v>Basilio  Coco</v>
      </c>
      <c r="L18" s="1"/>
      <c r="M18" s="1">
        <v>17</v>
      </c>
      <c r="N18" s="1" t="s">
        <v>20</v>
      </c>
      <c r="O18" s="1" t="s">
        <v>11</v>
      </c>
      <c r="P18" s="1" t="s">
        <v>16</v>
      </c>
      <c r="Q18" s="1"/>
      <c r="R18" s="1"/>
      <c r="S18" t="s">
        <v>28</v>
      </c>
    </row>
    <row r="19" spans="1:19" x14ac:dyDescent="0.25">
      <c r="A19" s="1">
        <v>18</v>
      </c>
      <c r="B19" s="1" t="s">
        <v>36</v>
      </c>
      <c r="C19" s="1" t="s">
        <v>37</v>
      </c>
      <c r="D19" s="1" t="s">
        <v>31</v>
      </c>
      <c r="G19" s="1" t="str">
        <f>CONCATENATE(JUGADORESLOCALES[[#This Row],[NOMRBE]]," ", JUGADORESLOCALES[[#This Row],[APELLIDOS]])</f>
        <v>Carlos cabrera</v>
      </c>
      <c r="L19" s="1"/>
      <c r="M19" s="1">
        <v>18</v>
      </c>
      <c r="N19" s="1" t="s">
        <v>20</v>
      </c>
      <c r="O19" s="1" t="s">
        <v>12</v>
      </c>
      <c r="P19" s="1" t="s">
        <v>16</v>
      </c>
      <c r="Q19" s="1"/>
      <c r="R19" s="1"/>
      <c r="S19" t="s">
        <v>29</v>
      </c>
    </row>
    <row r="20" spans="1:19" x14ac:dyDescent="0.25">
      <c r="A20" s="1">
        <v>19</v>
      </c>
      <c r="B20" s="1" t="s">
        <v>38</v>
      </c>
      <c r="C20" s="1" t="s">
        <v>39</v>
      </c>
      <c r="D20" s="1" t="s">
        <v>32</v>
      </c>
      <c r="G20" s="1" t="str">
        <f>CONCATENATE(JUGADORESLOCALES[[#This Row],[NOMRBE]]," ", JUGADORESLOCALES[[#This Row],[APELLIDOS]])</f>
        <v>marcial Perez</v>
      </c>
      <c r="L20" s="1"/>
      <c r="M20" s="1">
        <v>19</v>
      </c>
      <c r="N20" s="1" t="s">
        <v>20</v>
      </c>
      <c r="O20" s="1" t="s">
        <v>10</v>
      </c>
      <c r="P20" s="1" t="s">
        <v>16</v>
      </c>
      <c r="Q20" s="1"/>
      <c r="R20" s="1"/>
      <c r="S20" t="s">
        <v>27</v>
      </c>
    </row>
    <row r="21" spans="1:19" x14ac:dyDescent="0.25">
      <c r="A21" s="1">
        <v>20</v>
      </c>
      <c r="B21" s="1" t="s">
        <v>20</v>
      </c>
      <c r="C21" s="1" t="s">
        <v>11</v>
      </c>
      <c r="D21" s="1" t="s">
        <v>33</v>
      </c>
      <c r="G21" s="1" t="str">
        <f>CONCATENATE(JUGADORESLOCALES[[#This Row],[NOMRBE]]," ", JUGADORESLOCALES[[#This Row],[APELLIDOS]])</f>
        <v>ayoze BB</v>
      </c>
      <c r="L21" s="1"/>
      <c r="M21" s="1">
        <v>20</v>
      </c>
      <c r="N21" s="1" t="s">
        <v>20</v>
      </c>
      <c r="O21" s="1" t="s">
        <v>11</v>
      </c>
      <c r="P21" s="1" t="s">
        <v>16</v>
      </c>
      <c r="Q21" s="1"/>
      <c r="R21" s="1"/>
      <c r="S21" t="s">
        <v>28</v>
      </c>
    </row>
    <row r="22" spans="1:19" x14ac:dyDescent="0.25">
      <c r="A22" s="1">
        <v>21</v>
      </c>
      <c r="B22" s="1" t="s">
        <v>20</v>
      </c>
      <c r="C22" s="1" t="s">
        <v>12</v>
      </c>
      <c r="D22" s="1" t="s">
        <v>16</v>
      </c>
      <c r="G22" s="1" t="str">
        <f>CONCATENATE(JUGADORESLOCALES[[#This Row],[NOMRBE]]," ", JUGADORESLOCALES[[#This Row],[APELLIDOS]])</f>
        <v>ayoze CC</v>
      </c>
      <c r="L22" s="1"/>
      <c r="M22" s="1">
        <v>21</v>
      </c>
      <c r="N22" s="1" t="s">
        <v>20</v>
      </c>
      <c r="O22" s="1" t="s">
        <v>12</v>
      </c>
      <c r="P22" s="1" t="s">
        <v>16</v>
      </c>
      <c r="Q22" s="1"/>
      <c r="R22" s="1"/>
      <c r="S22" t="s">
        <v>29</v>
      </c>
    </row>
    <row r="23" spans="1:19" x14ac:dyDescent="0.25">
      <c r="A23" s="1">
        <v>22</v>
      </c>
      <c r="B23" s="1" t="s">
        <v>20</v>
      </c>
      <c r="C23" s="1" t="s">
        <v>10</v>
      </c>
      <c r="D23" s="1" t="s">
        <v>16</v>
      </c>
      <c r="G23" s="1" t="str">
        <f>CONCATENATE(JUGADORESLOCALES[[#This Row],[NOMRBE]]," ", JUGADORESLOCALES[[#This Row],[APELLIDOS]])</f>
        <v>ayoze AA</v>
      </c>
      <c r="L23" s="1"/>
      <c r="M23" s="1">
        <v>22</v>
      </c>
      <c r="N23" s="1" t="s">
        <v>20</v>
      </c>
      <c r="O23" s="1" t="s">
        <v>10</v>
      </c>
      <c r="P23" s="1" t="s">
        <v>16</v>
      </c>
      <c r="Q23" s="1"/>
      <c r="R23" s="1"/>
      <c r="S23" t="s">
        <v>27</v>
      </c>
    </row>
    <row r="24" spans="1:19" x14ac:dyDescent="0.25">
      <c r="A24" s="1">
        <v>23</v>
      </c>
      <c r="B24" s="1" t="s">
        <v>20</v>
      </c>
      <c r="C24" s="1" t="s">
        <v>11</v>
      </c>
      <c r="D24" s="1" t="s">
        <v>16</v>
      </c>
      <c r="G24" s="1" t="str">
        <f>CONCATENATE(JUGADORESLOCALES[[#This Row],[NOMRBE]]," ", JUGADORESLOCALES[[#This Row],[APELLIDOS]])</f>
        <v>ayoze BB</v>
      </c>
      <c r="L24" s="1"/>
      <c r="M24" s="1">
        <v>23</v>
      </c>
      <c r="N24" s="1" t="s">
        <v>20</v>
      </c>
      <c r="O24" s="1" t="s">
        <v>11</v>
      </c>
      <c r="P24" s="1" t="s">
        <v>16</v>
      </c>
      <c r="Q24" s="1"/>
      <c r="R24" s="1"/>
      <c r="S24" t="s">
        <v>28</v>
      </c>
    </row>
    <row r="25" spans="1:19" x14ac:dyDescent="0.25">
      <c r="A25" s="1">
        <v>24</v>
      </c>
      <c r="B25" s="1" t="s">
        <v>20</v>
      </c>
      <c r="C25" s="1" t="s">
        <v>12</v>
      </c>
      <c r="D25" s="1" t="s">
        <v>16</v>
      </c>
      <c r="G25" s="1" t="str">
        <f>CONCATENATE(JUGADORESLOCALES[[#This Row],[NOMRBE]]," ", JUGADORESLOCALES[[#This Row],[APELLIDOS]])</f>
        <v>ayoze CC</v>
      </c>
      <c r="L25" s="1"/>
      <c r="M25" s="1">
        <v>24</v>
      </c>
      <c r="N25" s="1" t="s">
        <v>20</v>
      </c>
      <c r="O25" s="1" t="s">
        <v>12</v>
      </c>
      <c r="P25" s="1" t="s">
        <v>16</v>
      </c>
      <c r="Q25" s="1"/>
      <c r="R25" s="1"/>
      <c r="S25" t="s">
        <v>29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"/>
  <sheetViews>
    <sheetView workbookViewId="0"/>
  </sheetViews>
  <sheetFormatPr baseColWidth="10" defaultRowHeight="15" x14ac:dyDescent="0.25"/>
  <sheetData>
    <row r="1" spans="1:1" x14ac:dyDescent="0.25">
      <c r="A1">
        <f>PARAMETROS!D2</f>
        <v>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"/>
  <sheetViews>
    <sheetView workbookViewId="0"/>
  </sheetViews>
  <sheetFormatPr baseColWidth="10" defaultRowHeight="15" x14ac:dyDescent="0.25"/>
  <sheetData>
    <row r="1" spans="1:1" x14ac:dyDescent="0.25">
      <c r="A1">
        <v>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MENU</vt:lpstr>
      <vt:lpstr>PARAMETROS</vt:lpstr>
      <vt:lpstr>ELOCAL</vt:lpstr>
      <vt:lpstr>M.LOCAL</vt:lpstr>
      <vt:lpstr>M.VISITANTE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Ayoze Benitez Rodriguez</dc:creator>
  <cp:lastModifiedBy>Ayoze Benitez Rodriguez</cp:lastModifiedBy>
  <dcterms:created xsi:type="dcterms:W3CDTF">2021-01-03T01:43:41Z</dcterms:created>
  <dcterms:modified xsi:type="dcterms:W3CDTF">2021-01-10T16:03:43Z</dcterms:modified>
</cp:coreProperties>
</file>